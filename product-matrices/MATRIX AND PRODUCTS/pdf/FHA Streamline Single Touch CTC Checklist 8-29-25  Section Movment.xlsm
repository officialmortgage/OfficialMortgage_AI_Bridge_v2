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codeName="ThisWorkbook"/>
  <mc:AlternateContent xmlns:mc="http://schemas.openxmlformats.org/markup-compatibility/2006">
    <mc:Choice Requires="x15">
      <x15ac:absPath xmlns:x15ac="http://schemas.microsoft.com/office/spreadsheetml/2010/11/ac" url="\\dfs.shoremortgage.com\ns1\Public\Training\Underwriting\Academy Documents\Product Specific (CONV, FHA, VA, USDA)\Government (FHA, VA, USDA)\Single-touch Submission Checklists\"/>
    </mc:Choice>
  </mc:AlternateContent>
  <xr:revisionPtr revIDLastSave="0" documentId="13_ncr:1_{E7656548-B381-4A5C-8BA5-27AD81239BE3}" xr6:coauthVersionLast="47" xr6:coauthVersionMax="47" xr10:uidLastSave="{00000000-0000-0000-0000-000000000000}"/>
  <bookViews>
    <workbookView xWindow="-120" yWindow="-120" windowWidth="29040" windowHeight="15720" xr2:uid="{00000000-000D-0000-FFFF-FFFF00000000}"/>
  </bookViews>
  <sheets>
    <sheet name="Sheet1" sheetId="1" r:id="rId1"/>
  </sheets>
  <definedNames>
    <definedName name="LastName">Sheet1!$L$3</definedName>
    <definedName name="LoanNum">Sheet1!$F$3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3" i="1" l="1"/>
  <c r="V14" i="1"/>
  <c r="U14" i="1" s="1"/>
  <c r="P10" i="1" l="1"/>
  <c r="U7" i="1"/>
  <c r="U6" i="1"/>
  <c r="V6" i="1" s="1"/>
  <c r="U5" i="1"/>
  <c r="V7" i="1" l="1"/>
  <c r="P9" i="1"/>
  <c r="V5" i="1"/>
</calcChain>
</file>

<file path=xl/sharedStrings.xml><?xml version="1.0" encoding="utf-8"?>
<sst xmlns="http://schemas.openxmlformats.org/spreadsheetml/2006/main" count="33" uniqueCount="32">
  <si>
    <t>CREDIT-QUALIFYING CHECK</t>
  </si>
  <si>
    <t>FHA STREAMLINE SINGLE-TOUCH SUBMISSION CHECKLIST</t>
  </si>
  <si>
    <t>6 payments made</t>
  </si>
  <si>
    <t>6 full months from payment due date</t>
  </si>
  <si>
    <t>210 days from closing</t>
  </si>
  <si>
    <t>FHA Seasoning:</t>
  </si>
  <si>
    <t>GNMA:</t>
  </si>
  <si>
    <t>210 days from first payment due</t>
  </si>
  <si>
    <t xml:space="preserve">SEASONING REQUIREMENT </t>
  </si>
  <si>
    <t>UNDERWRITING DOCUMENT CHECKLIST (NON-CREDIT QUALIFYING)</t>
  </si>
  <si>
    <t>Select Answer</t>
  </si>
  <si>
    <t>Yes</t>
  </si>
  <si>
    <t>No</t>
  </si>
  <si>
    <t>Enter the original closing/note date for the mortgage being paid off:</t>
  </si>
  <si>
    <t>PROPRIETARY AND CONFIDENTIAL TO UWM - FOR USE BY UWM APPROVED PARTIES ONLY. NMLS #3038</t>
  </si>
  <si>
    <t xml:space="preserve">Are any of the borrowers from the original Mortgage being removed for this transaction?    </t>
  </si>
  <si>
    <t>OWNER: UND Training</t>
  </si>
  <si>
    <t>Loan Number:</t>
  </si>
  <si>
    <t>Borrower Last Name:</t>
  </si>
  <si>
    <r>
      <t xml:space="preserve">The FHA Case Number Assignment Date may not be ordered </t>
    </r>
    <r>
      <rPr>
        <b/>
        <sz val="12"/>
        <color rgb="FF005F9E"/>
        <rFont val="Futura LT Pro Medium"/>
        <family val="2"/>
      </rPr>
      <t>any earlier than:</t>
    </r>
    <r>
      <rPr>
        <sz val="12"/>
        <color rgb="FF005F9E"/>
        <rFont val="Futura LT Pro Medium"/>
        <family val="2"/>
      </rPr>
      <t xml:space="preserve"> </t>
    </r>
  </si>
  <si>
    <r>
      <t xml:space="preserve">The </t>
    </r>
    <r>
      <rPr>
        <b/>
        <sz val="12"/>
        <color rgb="FF005F9E"/>
        <rFont val="Futura LT Pro Medium"/>
        <family val="2"/>
      </rPr>
      <t>earliest</t>
    </r>
    <r>
      <rPr>
        <sz val="12"/>
        <color rgb="FF005F9E"/>
        <rFont val="Futura LT Pro Medium"/>
        <family val="2"/>
      </rPr>
      <t xml:space="preserve"> first payment </t>
    </r>
    <r>
      <rPr>
        <b/>
        <sz val="12"/>
        <color rgb="FF005F9E"/>
        <rFont val="Futura LT Pro Medium"/>
        <family val="2"/>
      </rPr>
      <t>DUE</t>
    </r>
    <r>
      <rPr>
        <sz val="12"/>
        <color rgb="FF005F9E"/>
        <rFont val="Futura LT Pro Medium"/>
        <family val="2"/>
      </rPr>
      <t xml:space="preserve"> for this transaction</t>
    </r>
    <r>
      <rPr>
        <b/>
        <sz val="12"/>
        <color rgb="FF005F9E"/>
        <rFont val="Futura LT Pro Medium"/>
        <family val="2"/>
      </rPr>
      <t>:</t>
    </r>
  </si>
  <si>
    <r>
      <t xml:space="preserve">Additional conditions may apply on a case-by-case basis once reviewed by underwriting. 
</t>
    </r>
    <r>
      <rPr>
        <i/>
        <sz val="12"/>
        <rFont val="Futura PT Bold"/>
        <family val="2"/>
      </rPr>
      <t>Completing this checklist is not a guarantee of a single-touch CTC, but will greatly expedite the underwriting process.</t>
    </r>
  </si>
  <si>
    <r>
      <t xml:space="preserve">Enter the date the first payment was </t>
    </r>
    <r>
      <rPr>
        <sz val="12"/>
        <rFont val="Futura PT Bold"/>
        <family val="2"/>
      </rPr>
      <t>DUE</t>
    </r>
    <r>
      <rPr>
        <sz val="12"/>
        <rFont val="Futura PT Book"/>
        <family val="2"/>
      </rPr>
      <t xml:space="preserve"> for the mortgage being paid off:</t>
    </r>
  </si>
  <si>
    <t>Origination package with State and Federal disclosures</t>
  </si>
  <si>
    <t xml:space="preserve">Title work: Preliminary title, wire instructions, and closing protection letter (CPL) </t>
  </si>
  <si>
    <t>Homeowners Insurance</t>
  </si>
  <si>
    <r>
      <t xml:space="preserve">If the cash-to-close exceeds the proposed PITI of the subject property, verification of funds to close will be required. If the cash-to-close does not exceed the proposed PITI of the subject property, verification of funds to close is not required.
     </t>
    </r>
    <r>
      <rPr>
        <sz val="12"/>
        <rFont val="Futura PT Bold"/>
        <family val="2"/>
      </rPr>
      <t>NOTE:</t>
    </r>
    <r>
      <rPr>
        <sz val="12"/>
        <rFont val="Futura PT Book"/>
        <family val="2"/>
      </rPr>
      <t xml:space="preserve"> Cash-to-close/PITI figures are subject to change through life of the loan.</t>
    </r>
  </si>
  <si>
    <r>
      <t xml:space="preserve">Credit report or mortgage-only credit report with a minimum of </t>
    </r>
    <r>
      <rPr>
        <sz val="12"/>
        <color theme="1"/>
        <rFont val="Futura PT Book"/>
        <family val="2"/>
      </rPr>
      <t>1 score</t>
    </r>
    <r>
      <rPr>
        <sz val="12"/>
        <rFont val="Futura PT Book"/>
        <family val="2"/>
      </rPr>
      <t xml:space="preserve">
</t>
    </r>
    <r>
      <rPr>
        <sz val="12"/>
        <rFont val="Futura PT Bold"/>
        <family val="2"/>
      </rPr>
      <t xml:space="preserve">     NOTE:</t>
    </r>
    <r>
      <rPr>
        <sz val="12"/>
        <rFont val="Futura PT Book"/>
        <family val="2"/>
      </rPr>
      <t xml:space="preserve"> FHA Non-credit Qualifying Refinances require mortgage history to be current up to the month of disbursement. If the credit report indicates that the mortgage is current, but the loan disburses in the following month, additional documentation will be required (Payoff Statement, Mortgage Statement, Credit Supplement, etc.)</t>
    </r>
  </si>
  <si>
    <r>
      <t xml:space="preserve">Payoff statement
     </t>
    </r>
    <r>
      <rPr>
        <sz val="12"/>
        <rFont val="Futura PT Bold"/>
        <family val="2"/>
      </rPr>
      <t>NOTE:</t>
    </r>
    <r>
      <rPr>
        <sz val="12"/>
        <rFont val="Futura PT Book"/>
        <family val="2"/>
      </rPr>
      <t xml:space="preserve"> If the current mortgage is serviced by UWM, a Netted Payoff Statement will be ordered internally.</t>
    </r>
  </si>
  <si>
    <t>Recent utility bill OR paystub with legible mailing address</t>
  </si>
  <si>
    <t>Third party documentation of all borrowers’ SSN through one of the following: Social Security Card, W-2, or SSA Form-89.</t>
  </si>
  <si>
    <r>
      <t xml:space="preserve">Note for the mortgage being refinanced
</t>
    </r>
    <r>
      <rPr>
        <sz val="12"/>
        <rFont val="Futura PT Bold"/>
        <family val="2"/>
      </rPr>
      <t xml:space="preserve">     NOTE: </t>
    </r>
    <r>
      <rPr>
        <sz val="12"/>
        <rFont val="Futura PT Book"/>
        <family val="2"/>
      </rPr>
      <t>This box is ONLY required if there are multiple people on the loan &amp; the credit report shows a joint mortgage tradeline.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</si>
</sst>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21">
    <font>
      <sz val="11"/>
      <color theme="1"/>
      <name val="Calibri"/>
      <family val="2"/>
      <scheme val="minor"/>
    </font>
    <font>
      <sz val="11"/>
      <color theme="1"/>
      <name val="Calibri"/>
      <family val="2"/>
      <scheme val="minor"/>
    </font>
    <font>
      <sz val="11"/>
      <color rgb="FFA9C23F"/>
      <name val="Calibri"/>
      <family val="2"/>
      <scheme val="minor"/>
    </font>
    <font>
      <sz val="6"/>
      <color theme="0"/>
      <name val="Arial"/>
      <family val="2"/>
    </font>
    <font>
      <sz val="22"/>
      <color theme="0"/>
      <name val="Futura LT Pro Medium"/>
      <family val="2"/>
    </font>
    <font>
      <sz val="11"/>
      <color theme="0" tint="-0.34998626667073579"/>
      <name val="Calibri"/>
      <family val="2"/>
      <scheme val="minor"/>
    </font>
    <font>
      <sz val="11"/>
      <color rgb="FF000000"/>
      <name val="Calibri"/>
      <family val="2"/>
    </font>
    <font>
      <sz val="12"/>
      <color rgb="FF005F9E"/>
      <name val="Futura LT Pro Medium"/>
      <family val="2"/>
    </font>
    <font>
      <b/>
      <sz val="12"/>
      <color rgb="FF005F9E"/>
      <name val="Futura LT Pro Medium"/>
      <family val="2"/>
    </font>
    <font>
      <sz val="20"/>
      <color theme="0"/>
      <name val="Futura LT Pro Medium"/>
      <family val="2"/>
    </font>
    <font>
      <b/>
      <sz val="11"/>
      <color rgb="FF005F9E"/>
      <name val="Futura LT Pro Medium"/>
      <family val="2"/>
    </font>
    <font>
      <sz val="20"/>
      <color theme="0"/>
      <name val="Futura PT Bold"/>
      <family val="2"/>
    </font>
    <font>
      <b/>
      <sz val="14"/>
      <color theme="0"/>
      <name val="Futura PT Bold"/>
      <family val="2"/>
    </font>
    <font>
      <sz val="12"/>
      <name val="Futura PT Book"/>
      <family val="2"/>
    </font>
    <font>
      <sz val="14"/>
      <color theme="0"/>
      <name val="Futura PT Book"/>
      <family val="2"/>
    </font>
    <font>
      <sz val="14"/>
      <name val="Futura PT Book"/>
      <family val="2"/>
    </font>
    <font>
      <i/>
      <sz val="12"/>
      <name val="Futura PT Book"/>
      <family val="2"/>
    </font>
    <font>
      <i/>
      <sz val="12"/>
      <name val="Futura PT Bold"/>
      <family val="2"/>
    </font>
    <font>
      <sz val="12"/>
      <color rgb="FF004C97"/>
      <name val="Futura PT Book"/>
      <family val="2"/>
    </font>
    <font>
      <sz val="12"/>
      <name val="Futura PT Bold"/>
      <family val="2"/>
    </font>
    <font>
      <sz val="12"/>
      <color theme="1"/>
      <name val="Futura PT Book"/>
      <family val="2"/>
    </font>
  </fonts>
  <fills count="6">
    <fill>
      <patternFill patternType="none"/>
    </fill>
    <fill>
      <patternFill patternType="gray125"/>
    </fill>
    <fill>
      <patternFill patternType="solid">
        <fgColor theme="0"/>
        <bgColor indexed="64"/>
      </patternFill>
    </fill>
    <fill>
      <patternFill patternType="solid">
        <fgColor rgb="FFE5E6E2"/>
        <bgColor indexed="64"/>
      </patternFill>
    </fill>
    <fill>
      <patternFill patternType="solid">
        <fgColor rgb="FF005F9E"/>
        <bgColor indexed="64"/>
      </patternFill>
    </fill>
    <fill>
      <patternFill patternType="solid">
        <fgColor rgb="FFF68A33"/>
        <bgColor indexed="64"/>
      </patternFill>
    </fill>
  </fills>
  <borders count="40">
    <border>
      <left/>
      <right/>
      <top/>
      <bottom/>
      <diagonal/>
    </border>
    <border>
      <left style="medium">
        <color rgb="FF006C67"/>
      </left>
      <right/>
      <top style="medium">
        <color rgb="FF006C67"/>
      </top>
      <bottom/>
      <diagonal/>
    </border>
    <border>
      <left/>
      <right/>
      <top style="medium">
        <color rgb="FF006C67"/>
      </top>
      <bottom/>
      <diagonal/>
    </border>
    <border>
      <left style="medium">
        <color rgb="FF006C67"/>
      </left>
      <right/>
      <top/>
      <bottom/>
      <diagonal/>
    </border>
    <border>
      <left/>
      <right style="medium">
        <color rgb="FF006C67"/>
      </right>
      <top/>
      <bottom/>
      <diagonal/>
    </border>
    <border>
      <left style="medium">
        <color rgb="FF006C67"/>
      </left>
      <right/>
      <top/>
      <bottom style="medium">
        <color rgb="FF006C67"/>
      </bottom>
      <diagonal/>
    </border>
    <border>
      <left/>
      <right/>
      <top/>
      <bottom style="medium">
        <color rgb="FF006C67"/>
      </bottom>
      <diagonal/>
    </border>
    <border>
      <left/>
      <right style="medium">
        <color rgb="FF006C67"/>
      </right>
      <top/>
      <bottom style="medium">
        <color rgb="FF006C67"/>
      </bottom>
      <diagonal/>
    </border>
    <border>
      <left style="thin">
        <color rgb="FF006C67"/>
      </left>
      <right style="thin">
        <color rgb="FF006C67"/>
      </right>
      <top style="thin">
        <color rgb="FF006C67"/>
      </top>
      <bottom style="thin">
        <color rgb="FF006C67"/>
      </bottom>
      <diagonal/>
    </border>
    <border>
      <left style="thin">
        <color rgb="FF006C67"/>
      </left>
      <right style="thin">
        <color rgb="FF006C67"/>
      </right>
      <top style="thin">
        <color rgb="FF006C67"/>
      </top>
      <bottom/>
      <diagonal/>
    </border>
    <border>
      <left style="thin">
        <color rgb="FF006C67"/>
      </left>
      <right style="thin">
        <color rgb="FF006C67"/>
      </right>
      <top/>
      <bottom style="thin">
        <color rgb="FF006C67"/>
      </bottom>
      <diagonal/>
    </border>
    <border>
      <left/>
      <right style="thin">
        <color rgb="FF006C67"/>
      </right>
      <top style="thin">
        <color rgb="FF006C67"/>
      </top>
      <bottom/>
      <diagonal/>
    </border>
    <border>
      <left/>
      <right style="thin">
        <color rgb="FF006C67"/>
      </right>
      <top style="thin">
        <color rgb="FF006C67"/>
      </top>
      <bottom style="thin">
        <color rgb="FF006C67"/>
      </bottom>
      <diagonal/>
    </border>
    <border>
      <left style="medium">
        <color rgb="FF006C67"/>
      </left>
      <right/>
      <top style="thin">
        <color rgb="FF006C67"/>
      </top>
      <bottom style="thin">
        <color rgb="FF006C67"/>
      </bottom>
      <diagonal/>
    </border>
    <border>
      <left style="thin">
        <color rgb="FF006C67"/>
      </left>
      <right style="medium">
        <color rgb="FF006C67"/>
      </right>
      <top style="thin">
        <color rgb="FF006C67"/>
      </top>
      <bottom style="thin">
        <color rgb="FF006C67"/>
      </bottom>
      <diagonal/>
    </border>
    <border>
      <left style="thin">
        <color rgb="FF006C67"/>
      </left>
      <right style="medium">
        <color rgb="FF006C67"/>
      </right>
      <top style="thin">
        <color rgb="FF006C67"/>
      </top>
      <bottom/>
      <diagonal/>
    </border>
    <border>
      <left style="medium">
        <color rgb="FF006C67"/>
      </left>
      <right/>
      <top style="thin">
        <color rgb="FF006C67"/>
      </top>
      <bottom/>
      <diagonal/>
    </border>
    <border>
      <left style="medium">
        <color rgb="FF006C67"/>
      </left>
      <right style="thin">
        <color rgb="FF006C67"/>
      </right>
      <top style="thin">
        <color rgb="FF006C67"/>
      </top>
      <bottom style="thin">
        <color rgb="FF006C67"/>
      </bottom>
      <diagonal/>
    </border>
    <border>
      <left style="thin">
        <color rgb="FF006C67"/>
      </left>
      <right style="medium">
        <color rgb="FF006C67"/>
      </right>
      <top/>
      <bottom style="thin">
        <color rgb="FF006C67"/>
      </bottom>
      <diagonal/>
    </border>
    <border>
      <left/>
      <right style="thin">
        <color theme="0" tint="-0.499984740745262"/>
      </right>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rgb="FF006C67"/>
      </left>
      <right/>
      <top style="medium">
        <color rgb="FF006C67"/>
      </top>
      <bottom style="thin">
        <color indexed="64"/>
      </bottom>
      <diagonal/>
    </border>
    <border>
      <left/>
      <right/>
      <top style="medium">
        <color rgb="FF006C67"/>
      </top>
      <bottom style="thin">
        <color indexed="64"/>
      </bottom>
      <diagonal/>
    </border>
    <border>
      <left/>
      <right style="medium">
        <color rgb="FF006C67"/>
      </right>
      <top style="medium">
        <color rgb="FF006C67"/>
      </top>
      <bottom style="thin">
        <color indexed="64"/>
      </bottom>
      <diagonal/>
    </border>
    <border>
      <left/>
      <right/>
      <top style="medium">
        <color rgb="FF006C67"/>
      </top>
      <bottom style="medium">
        <color indexed="64"/>
      </bottom>
      <diagonal/>
    </border>
    <border>
      <left style="thin">
        <color rgb="FF006C67"/>
      </left>
      <right/>
      <top style="thin">
        <color rgb="FF006C67"/>
      </top>
      <bottom style="thin">
        <color indexed="64"/>
      </bottom>
      <diagonal/>
    </border>
    <border>
      <left/>
      <right/>
      <top style="thin">
        <color rgb="FF006C67"/>
      </top>
      <bottom style="thin">
        <color indexed="64"/>
      </bottom>
      <diagonal/>
    </border>
    <border>
      <left/>
      <right style="medium">
        <color rgb="FF006C67"/>
      </right>
      <top style="thin">
        <color rgb="FF006C67"/>
      </top>
      <bottom style="thin">
        <color indexed="64"/>
      </bottom>
      <diagonal/>
    </border>
    <border>
      <left style="thin">
        <color rgb="FF006C67"/>
      </left>
      <right/>
      <top style="medium">
        <color indexed="64"/>
      </top>
      <bottom style="thin">
        <color rgb="FF006C67"/>
      </bottom>
      <diagonal/>
    </border>
    <border>
      <left/>
      <right/>
      <top style="medium">
        <color indexed="64"/>
      </top>
      <bottom style="thin">
        <color rgb="FF006C67"/>
      </bottom>
      <diagonal/>
    </border>
    <border>
      <left/>
      <right style="medium">
        <color rgb="FF006C67"/>
      </right>
      <top style="medium">
        <color indexed="64"/>
      </top>
      <bottom style="thin">
        <color rgb="FF006C67"/>
      </bottom>
      <diagonal/>
    </border>
    <border>
      <left style="thin">
        <color rgb="FF006C67"/>
      </left>
      <right/>
      <top style="thin">
        <color rgb="FF006C67"/>
      </top>
      <bottom style="thin">
        <color rgb="FF006C67"/>
      </bottom>
      <diagonal/>
    </border>
    <border>
      <left/>
      <right/>
      <top style="thin">
        <color rgb="FF006C67"/>
      </top>
      <bottom style="thin">
        <color rgb="FF006C67"/>
      </bottom>
      <diagonal/>
    </border>
    <border>
      <left/>
      <right style="medium">
        <color rgb="FF006C67"/>
      </right>
      <top style="thin">
        <color rgb="FF006C67"/>
      </top>
      <bottom style="thin">
        <color rgb="FF006C67"/>
      </bottom>
      <diagonal/>
    </border>
    <border>
      <left style="medium">
        <color rgb="FF006C67"/>
      </left>
      <right/>
      <top style="medium">
        <color indexed="64"/>
      </top>
      <bottom style="thin">
        <color rgb="FF006C67"/>
      </bottom>
      <diagonal/>
    </border>
    <border>
      <left/>
      <right style="thin">
        <color rgb="FF006C67"/>
      </right>
      <top style="medium">
        <color indexed="64"/>
      </top>
      <bottom style="thin">
        <color rgb="FF006C67"/>
      </bottom>
      <diagonal/>
    </border>
  </borders>
  <cellStyleXfs count="2">
    <xf numFmtId="0" fontId="0" fillId="0" borderId="0"/>
    <xf numFmtId="44" fontId="1" fillId="0" borderId="0" applyFont="0" applyFill="0" applyBorder="0" applyAlignment="0" applyProtection="0"/>
  </cellStyleXfs>
  <cellXfs count="79">
    <xf numFmtId="0" fontId="0" fillId="0" borderId="0" xfId="0"/>
    <xf numFmtId="0" fontId="0" fillId="0" borderId="0" xfId="0" applyProtection="1">
      <protection locked="0"/>
    </xf>
    <xf numFmtId="0" fontId="0" fillId="0" borderId="0" xfId="0" applyAlignment="1" applyProtection="1">
      <alignment horizontal="center"/>
      <protection locked="0"/>
    </xf>
    <xf numFmtId="14" fontId="0" fillId="0" borderId="0" xfId="0" applyNumberFormat="1" applyProtection="1">
      <protection locked="0"/>
    </xf>
    <xf numFmtId="14" fontId="0" fillId="0" borderId="0" xfId="0" applyNumberFormat="1"/>
    <xf numFmtId="0" fontId="0" fillId="2" borderId="0" xfId="0" applyFill="1"/>
    <xf numFmtId="49" fontId="3" fillId="2" borderId="19" xfId="0" applyNumberFormat="1" applyFont="1" applyFill="1" applyBorder="1" applyAlignment="1">
      <alignment vertical="center"/>
    </xf>
    <xf numFmtId="49" fontId="3" fillId="2" borderId="0" xfId="0" applyNumberFormat="1" applyFont="1" applyFill="1" applyAlignment="1">
      <alignment vertical="center"/>
    </xf>
    <xf numFmtId="0" fontId="5" fillId="0" borderId="0" xfId="0" applyFont="1" applyAlignment="1">
      <alignment vertical="center"/>
    </xf>
    <xf numFmtId="0" fontId="15" fillId="0" borderId="20" xfId="0" applyFont="1" applyBorder="1" applyAlignment="1" applyProtection="1">
      <alignment horizontal="left" vertical="center"/>
      <protection locked="0"/>
    </xf>
    <xf numFmtId="0" fontId="15" fillId="0" borderId="22" xfId="0" applyFont="1" applyBorder="1" applyAlignment="1" applyProtection="1">
      <alignment horizontal="left" vertical="center"/>
      <protection locked="0"/>
    </xf>
    <xf numFmtId="0" fontId="15" fillId="0" borderId="20" xfId="0" applyFont="1" applyBorder="1" applyAlignment="1" applyProtection="1">
      <alignment horizontal="center" vertical="center"/>
      <protection locked="0"/>
    </xf>
    <xf numFmtId="0" fontId="15" fillId="0" borderId="22" xfId="0" applyFont="1" applyBorder="1" applyAlignment="1" applyProtection="1">
      <alignment horizontal="center" vertical="center"/>
      <protection locked="0"/>
    </xf>
    <xf numFmtId="0" fontId="15" fillId="0" borderId="21" xfId="0" applyFont="1" applyBorder="1" applyAlignment="1" applyProtection="1">
      <alignment horizontal="center" vertical="center"/>
      <protection locked="0"/>
    </xf>
    <xf numFmtId="14" fontId="18" fillId="2" borderId="25" xfId="0" applyNumberFormat="1" applyFont="1" applyFill="1" applyBorder="1" applyAlignment="1" applyProtection="1">
      <alignment horizontal="center"/>
      <protection locked="0"/>
    </xf>
    <xf numFmtId="14" fontId="18" fillId="2" borderId="26" xfId="0" applyNumberFormat="1" applyFont="1" applyFill="1" applyBorder="1" applyAlignment="1" applyProtection="1">
      <alignment horizontal="center"/>
      <protection locked="0"/>
    </xf>
    <xf numFmtId="14" fontId="18" fillId="2" borderId="27" xfId="0" applyNumberFormat="1" applyFont="1" applyFill="1" applyBorder="1" applyAlignment="1" applyProtection="1">
      <alignment horizontal="center"/>
      <protection locked="0"/>
    </xf>
    <xf numFmtId="14" fontId="18" fillId="2" borderId="5" xfId="0" applyNumberFormat="1" applyFont="1" applyFill="1" applyBorder="1" applyAlignment="1" applyProtection="1">
      <alignment horizontal="center"/>
      <protection locked="0"/>
    </xf>
    <xf numFmtId="14" fontId="18" fillId="2" borderId="6" xfId="0" applyNumberFormat="1" applyFont="1" applyFill="1" applyBorder="1" applyAlignment="1" applyProtection="1">
      <alignment horizontal="center"/>
      <protection locked="0"/>
    </xf>
    <xf numFmtId="14" fontId="18" fillId="2" borderId="7" xfId="0" applyNumberFormat="1" applyFont="1" applyFill="1" applyBorder="1" applyAlignment="1" applyProtection="1">
      <alignment horizontal="center"/>
      <protection locked="0"/>
    </xf>
    <xf numFmtId="44" fontId="13" fillId="3" borderId="5" xfId="1" applyFont="1" applyFill="1" applyBorder="1" applyAlignment="1" applyProtection="1">
      <alignment horizontal="center"/>
      <protection locked="0"/>
    </xf>
    <xf numFmtId="44" fontId="13" fillId="3" borderId="7" xfId="1" applyFont="1" applyFill="1" applyBorder="1" applyAlignment="1" applyProtection="1">
      <alignment horizontal="center"/>
      <protection locked="0"/>
    </xf>
    <xf numFmtId="0" fontId="4" fillId="4" borderId="1" xfId="0" applyFont="1" applyFill="1" applyBorder="1" applyAlignment="1" applyProtection="1">
      <alignment vertical="center"/>
    </xf>
    <xf numFmtId="0" fontId="4" fillId="4" borderId="2" xfId="0" applyFont="1" applyFill="1" applyBorder="1" applyAlignment="1" applyProtection="1">
      <alignment vertical="center"/>
    </xf>
    <xf numFmtId="0" fontId="9" fillId="4" borderId="2" xfId="0" applyFont="1" applyFill="1" applyBorder="1" applyAlignment="1" applyProtection="1">
      <alignment vertical="center"/>
    </xf>
    <xf numFmtId="0" fontId="14" fillId="4" borderId="24" xfId="0" applyFont="1" applyFill="1" applyBorder="1" applyAlignment="1" applyProtection="1">
      <alignment horizontal="center" vertical="center"/>
    </xf>
    <xf numFmtId="0" fontId="14" fillId="4" borderId="22" xfId="0" applyFont="1" applyFill="1" applyBorder="1" applyAlignment="1" applyProtection="1">
      <alignment horizontal="center" vertical="center"/>
    </xf>
    <xf numFmtId="0" fontId="14" fillId="4" borderId="21" xfId="0" applyFont="1" applyFill="1" applyBorder="1" applyAlignment="1" applyProtection="1">
      <alignment horizontal="center" vertical="center"/>
    </xf>
    <xf numFmtId="0" fontId="11" fillId="4" borderId="28" xfId="0" applyFont="1" applyFill="1" applyBorder="1" applyAlignment="1" applyProtection="1">
      <alignment horizontal="center" vertical="center"/>
    </xf>
    <xf numFmtId="0" fontId="14" fillId="4" borderId="20" xfId="0" applyFont="1" applyFill="1" applyBorder="1" applyAlignment="1" applyProtection="1">
      <alignment horizontal="center" vertical="center"/>
    </xf>
    <xf numFmtId="0" fontId="4" fillId="4" borderId="22" xfId="0" applyFont="1" applyFill="1" applyBorder="1" applyAlignment="1" applyProtection="1">
      <alignment horizontal="center" vertical="center"/>
    </xf>
    <xf numFmtId="0" fontId="3" fillId="4" borderId="0" xfId="0" applyFont="1" applyFill="1" applyAlignment="1" applyProtection="1">
      <alignment horizontal="center" vertical="center"/>
    </xf>
    <xf numFmtId="0" fontId="3" fillId="4" borderId="23" xfId="0" applyFont="1" applyFill="1" applyBorder="1" applyAlignment="1" applyProtection="1">
      <alignment horizontal="center" vertical="center"/>
    </xf>
    <xf numFmtId="0" fontId="16" fillId="0" borderId="3" xfId="0" applyFont="1" applyBorder="1" applyAlignment="1" applyProtection="1">
      <alignment horizontal="center" vertical="center" wrapText="1"/>
    </xf>
    <xf numFmtId="0" fontId="16" fillId="0" borderId="0" xfId="0" applyFont="1" applyAlignment="1" applyProtection="1">
      <alignment horizontal="center" vertical="center" wrapText="1"/>
    </xf>
    <xf numFmtId="0" fontId="16" fillId="0" borderId="4" xfId="0" applyFont="1" applyBorder="1" applyAlignment="1" applyProtection="1">
      <alignment horizontal="center" vertical="center" wrapText="1"/>
    </xf>
    <xf numFmtId="0" fontId="12" fillId="5" borderId="24" xfId="0" applyFont="1" applyFill="1" applyBorder="1" applyAlignment="1" applyProtection="1">
      <alignment horizontal="center" vertical="center"/>
    </xf>
    <xf numFmtId="0" fontId="12" fillId="5" borderId="22" xfId="0" applyFont="1" applyFill="1" applyBorder="1" applyAlignment="1" applyProtection="1">
      <alignment horizontal="center" vertical="center"/>
    </xf>
    <xf numFmtId="0" fontId="12" fillId="5" borderId="23" xfId="0" applyFont="1" applyFill="1" applyBorder="1" applyAlignment="1" applyProtection="1">
      <alignment horizontal="center" vertical="center"/>
    </xf>
    <xf numFmtId="0" fontId="13" fillId="0" borderId="3" xfId="0" applyFont="1" applyBorder="1" applyAlignment="1" applyProtection="1">
      <alignment horizontal="right"/>
    </xf>
    <xf numFmtId="0" fontId="13" fillId="0" borderId="0" xfId="0" applyFont="1" applyAlignment="1" applyProtection="1">
      <alignment horizontal="right"/>
    </xf>
    <xf numFmtId="0" fontId="7" fillId="0" borderId="3" xfId="0" applyFont="1" applyBorder="1" applyAlignment="1" applyProtection="1">
      <alignment horizontal="right"/>
    </xf>
    <xf numFmtId="0" fontId="7" fillId="0" borderId="0" xfId="0" applyFont="1" applyAlignment="1" applyProtection="1">
      <alignment horizontal="right"/>
    </xf>
    <xf numFmtId="14" fontId="8" fillId="0" borderId="0" xfId="0" applyNumberFormat="1" applyFont="1" applyAlignment="1" applyProtection="1">
      <alignment horizontal="center"/>
    </xf>
    <xf numFmtId="0" fontId="0" fillId="0" borderId="4" xfId="0" applyBorder="1" applyProtection="1"/>
    <xf numFmtId="0" fontId="13" fillId="2" borderId="3" xfId="0" applyFont="1" applyFill="1" applyBorder="1" applyAlignment="1" applyProtection="1">
      <alignment horizontal="right"/>
    </xf>
    <xf numFmtId="0" fontId="13" fillId="2" borderId="0" xfId="0" applyFont="1" applyFill="1" applyAlignment="1" applyProtection="1">
      <alignment horizontal="right"/>
    </xf>
    <xf numFmtId="0" fontId="13" fillId="2" borderId="4" xfId="0" applyFont="1" applyFill="1" applyBorder="1" applyAlignment="1" applyProtection="1">
      <alignment horizontal="right"/>
    </xf>
    <xf numFmtId="0" fontId="10" fillId="2" borderId="5" xfId="0" applyFont="1" applyFill="1" applyBorder="1" applyAlignment="1" applyProtection="1">
      <alignment horizontal="center" vertical="center" wrapText="1"/>
    </xf>
    <xf numFmtId="0" fontId="10" fillId="2" borderId="6" xfId="0" applyFont="1" applyFill="1" applyBorder="1" applyAlignment="1" applyProtection="1">
      <alignment horizontal="center" vertical="center" wrapText="1"/>
    </xf>
    <xf numFmtId="0" fontId="10" fillId="2" borderId="7" xfId="0" applyFont="1" applyFill="1" applyBorder="1" applyAlignment="1" applyProtection="1">
      <alignment horizontal="center" vertical="center" wrapText="1"/>
    </xf>
    <xf numFmtId="0" fontId="0" fillId="2" borderId="4" xfId="0" applyFill="1" applyBorder="1" applyProtection="1"/>
    <xf numFmtId="0" fontId="2" fillId="2" borderId="38" xfId="0" applyFont="1" applyFill="1" applyBorder="1" applyAlignment="1" applyProtection="1">
      <alignment horizontal="center"/>
    </xf>
    <xf numFmtId="0" fontId="2" fillId="2" borderId="39" xfId="0" applyFont="1" applyFill="1" applyBorder="1" applyAlignment="1" applyProtection="1">
      <alignment horizontal="center"/>
    </xf>
    <xf numFmtId="0" fontId="13" fillId="0" borderId="32" xfId="0" applyFont="1" applyBorder="1" applyAlignment="1" applyProtection="1">
      <alignment horizontal="left" vertical="center"/>
    </xf>
    <xf numFmtId="0" fontId="13" fillId="0" borderId="33" xfId="0" applyFont="1" applyBorder="1" applyAlignment="1" applyProtection="1">
      <alignment horizontal="left" vertical="center"/>
    </xf>
    <xf numFmtId="0" fontId="13" fillId="0" borderId="34" xfId="0" applyFont="1" applyBorder="1" applyAlignment="1" applyProtection="1">
      <alignment horizontal="left" vertical="center"/>
    </xf>
    <xf numFmtId="0" fontId="2" fillId="2" borderId="13" xfId="0" applyFont="1" applyFill="1" applyBorder="1" applyAlignment="1" applyProtection="1">
      <alignment horizontal="center"/>
    </xf>
    <xf numFmtId="0" fontId="2" fillId="2" borderId="12" xfId="0" applyFont="1" applyFill="1" applyBorder="1" applyAlignment="1" applyProtection="1">
      <alignment horizontal="center"/>
    </xf>
    <xf numFmtId="0" fontId="13" fillId="0" borderId="35" xfId="0" applyFont="1" applyBorder="1" applyAlignment="1" applyProtection="1">
      <alignment horizontal="left" vertical="center" wrapText="1"/>
    </xf>
    <xf numFmtId="0" fontId="13" fillId="0" borderId="36" xfId="0" applyFont="1" applyBorder="1" applyAlignment="1" applyProtection="1">
      <alignment horizontal="left" vertical="center" wrapText="1"/>
    </xf>
    <xf numFmtId="0" fontId="13" fillId="0" borderId="37" xfId="0" applyFont="1" applyBorder="1" applyAlignment="1" applyProtection="1">
      <alignment horizontal="left" vertical="center" wrapText="1"/>
    </xf>
    <xf numFmtId="0" fontId="2" fillId="2" borderId="16" xfId="0" applyFont="1" applyFill="1" applyBorder="1" applyProtection="1"/>
    <xf numFmtId="0" fontId="2" fillId="2" borderId="11" xfId="0" applyFont="1" applyFill="1" applyBorder="1" applyProtection="1"/>
    <xf numFmtId="0" fontId="13" fillId="0" borderId="29" xfId="0" applyFont="1" applyBorder="1" applyAlignment="1" applyProtection="1">
      <alignment horizontal="left" vertical="center"/>
    </xf>
    <xf numFmtId="0" fontId="13" fillId="0" borderId="30" xfId="0" applyFont="1" applyBorder="1" applyAlignment="1" applyProtection="1">
      <alignment horizontal="left" vertical="center"/>
    </xf>
    <xf numFmtId="0" fontId="13" fillId="0" borderId="31" xfId="0" applyFont="1" applyBorder="1" applyAlignment="1" applyProtection="1">
      <alignment horizontal="left" vertical="center"/>
    </xf>
    <xf numFmtId="0" fontId="2" fillId="2" borderId="17" xfId="0" applyFont="1" applyFill="1" applyBorder="1" applyAlignment="1" applyProtection="1">
      <alignment horizontal="center"/>
    </xf>
    <xf numFmtId="0" fontId="2" fillId="2" borderId="8" xfId="0" applyFont="1" applyFill="1" applyBorder="1" applyAlignment="1" applyProtection="1">
      <alignment horizontal="center"/>
    </xf>
    <xf numFmtId="0" fontId="13" fillId="0" borderId="10" xfId="0" applyFont="1" applyBorder="1" applyAlignment="1" applyProtection="1">
      <alignment horizontal="left" vertical="center" wrapText="1"/>
    </xf>
    <xf numFmtId="0" fontId="13" fillId="0" borderId="10" xfId="0" applyFont="1" applyBorder="1" applyAlignment="1" applyProtection="1">
      <alignment horizontal="left" vertical="center"/>
    </xf>
    <xf numFmtId="0" fontId="13" fillId="0" borderId="18" xfId="0" applyFont="1" applyBorder="1" applyAlignment="1" applyProtection="1">
      <alignment horizontal="left" vertical="center"/>
    </xf>
    <xf numFmtId="0" fontId="13" fillId="0" borderId="8" xfId="0" applyFont="1" applyBorder="1" applyAlignment="1" applyProtection="1">
      <alignment horizontal="left" vertical="center" wrapText="1"/>
    </xf>
    <xf numFmtId="0" fontId="13" fillId="0" borderId="8" xfId="0" applyFont="1" applyBorder="1" applyAlignment="1" applyProtection="1">
      <alignment horizontal="left" vertical="center"/>
    </xf>
    <xf numFmtId="0" fontId="13" fillId="0" borderId="14" xfId="0" applyFont="1" applyBorder="1" applyAlignment="1" applyProtection="1">
      <alignment horizontal="left" vertical="center"/>
    </xf>
    <xf numFmtId="0" fontId="13" fillId="0" borderId="9" xfId="0" applyFont="1" applyBorder="1" applyAlignment="1" applyProtection="1">
      <alignment horizontal="left" vertical="center" wrapText="1"/>
    </xf>
    <xf numFmtId="0" fontId="13" fillId="0" borderId="9" xfId="0" applyFont="1" applyBorder="1" applyAlignment="1" applyProtection="1">
      <alignment horizontal="left" vertical="center"/>
    </xf>
    <xf numFmtId="0" fontId="13" fillId="0" borderId="15" xfId="0" applyFont="1" applyBorder="1" applyAlignment="1" applyProtection="1">
      <alignment horizontal="left" vertical="center"/>
    </xf>
    <xf numFmtId="0" fontId="5" fillId="0" borderId="2" xfId="0" applyFont="1" applyBorder="1" applyAlignment="1" applyProtection="1">
      <alignment horizontal="center" vertical="center"/>
    </xf>
  </cellXfs>
  <cellStyles count="2">
    <cellStyle name="Currency" xfId="1" builtinId="4"/>
    <cellStyle name="Normal" xfId="0" builtinId="0"/>
  </cellStyles>
  <dxfs count="12">
    <dxf>
      <fill>
        <patternFill>
          <bgColor rgb="FFE5E6E2"/>
        </patternFill>
      </fill>
    </dxf>
    <dxf>
      <font>
        <b val="0"/>
        <i/>
        <strike val="0"/>
        <color theme="0"/>
      </font>
      <fill>
        <patternFill>
          <bgColor rgb="FFA1CE57"/>
        </patternFill>
      </fill>
    </dxf>
    <dxf>
      <font>
        <b val="0"/>
        <i/>
        <strike val="0"/>
        <color theme="0"/>
      </font>
      <fill>
        <patternFill>
          <bgColor rgb="FFA1CE57"/>
        </patternFill>
      </fill>
    </dxf>
    <dxf>
      <font>
        <b val="0"/>
        <i/>
        <strike val="0"/>
        <color theme="0"/>
      </font>
      <fill>
        <patternFill>
          <bgColor rgb="FFA1CE57"/>
        </patternFill>
      </fill>
    </dxf>
    <dxf>
      <font>
        <b val="0"/>
        <i/>
        <strike val="0"/>
        <color theme="0"/>
      </font>
      <fill>
        <patternFill>
          <bgColor rgb="FFA1CE57"/>
        </patternFill>
      </fill>
    </dxf>
    <dxf>
      <font>
        <b val="0"/>
        <i/>
        <strike val="0"/>
        <color theme="0"/>
      </font>
      <fill>
        <patternFill>
          <bgColor rgb="FFA1CE57"/>
        </patternFill>
      </fill>
    </dxf>
    <dxf>
      <font>
        <b val="0"/>
        <i/>
        <strike val="0"/>
        <color theme="0"/>
      </font>
      <fill>
        <patternFill>
          <bgColor rgb="FFA1CE57"/>
        </patternFill>
      </fill>
    </dxf>
    <dxf>
      <font>
        <b val="0"/>
        <i/>
        <strike val="0"/>
        <color theme="0"/>
      </font>
      <fill>
        <patternFill>
          <bgColor rgb="FFA1CE57"/>
        </patternFill>
      </fill>
    </dxf>
    <dxf>
      <font>
        <b val="0"/>
        <i/>
        <strike val="0"/>
        <color theme="0"/>
      </font>
      <fill>
        <patternFill>
          <bgColor rgb="FFA1CE57"/>
        </patternFill>
      </fill>
    </dxf>
    <dxf>
      <font>
        <b val="0"/>
        <i/>
        <strike val="0"/>
        <color theme="0"/>
      </font>
      <fill>
        <patternFill>
          <bgColor rgb="FFA1CE57"/>
        </patternFill>
      </fill>
    </dxf>
    <dxf>
      <font>
        <color theme="0"/>
      </font>
    </dxf>
    <dxf>
      <font>
        <color theme="0"/>
      </font>
    </dxf>
  </dxfs>
  <tableStyles count="0" defaultTableStyle="TableStyleMedium2" defaultPivotStyle="PivotStyleLight16"/>
  <colors>
    <mruColors>
      <color rgb="FF005F9E"/>
      <color rgb="FFA1CE57"/>
      <color rgb="FFF68A33"/>
      <color rgb="FF00A39D"/>
      <color rgb="FF878787"/>
      <color rgb="FFB2B5B6"/>
      <color rgb="FFE5E6E2"/>
      <color rgb="FF006C67"/>
      <color rgb="FFB04700"/>
      <color rgb="FFA3C23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CheckBox" fmlaLink="$U$15" lockText="1" noThreeD="1"/>
</file>

<file path=xl/ctrlProps/ctrlProp2.xml><?xml version="1.0" encoding="utf-8"?>
<formControlPr xmlns="http://schemas.microsoft.com/office/spreadsheetml/2009/9/main" objectType="CheckBox" fmlaLink="$U$16" lockText="1" noThreeD="1"/>
</file>

<file path=xl/ctrlProps/ctrlProp3.xml><?xml version="1.0" encoding="utf-8"?>
<formControlPr xmlns="http://schemas.microsoft.com/office/spreadsheetml/2009/9/main" objectType="CheckBox" fmlaLink="$U$17" lockText="1" noThreeD="1"/>
</file>

<file path=xl/ctrlProps/ctrlProp4.xml><?xml version="1.0" encoding="utf-8"?>
<formControlPr xmlns="http://schemas.microsoft.com/office/spreadsheetml/2009/9/main" objectType="CheckBox" fmlaLink="$U$18" lockText="1" noThreeD="1"/>
</file>

<file path=xl/ctrlProps/ctrlProp5.xml><?xml version="1.0" encoding="utf-8"?>
<formControlPr xmlns="http://schemas.microsoft.com/office/spreadsheetml/2009/9/main" objectType="CheckBox" fmlaLink="$U$19" lockText="1" noThreeD="1"/>
</file>

<file path=xl/ctrlProps/ctrlProp6.xml><?xml version="1.0" encoding="utf-8"?>
<formControlPr xmlns="http://schemas.microsoft.com/office/spreadsheetml/2009/9/main" objectType="CheckBox" fmlaLink="$U$20" lockText="1" noThreeD="1"/>
</file>

<file path=xl/ctrlProps/ctrlProp7.xml><?xml version="1.0" encoding="utf-8"?>
<formControlPr xmlns="http://schemas.microsoft.com/office/spreadsheetml/2009/9/main" objectType="CheckBox" fmlaLink="$U$21" lockText="1" noThreeD="1"/>
</file>

<file path=xl/ctrlProps/ctrlProp8.xml><?xml version="1.0" encoding="utf-8"?>
<formControlPr xmlns="http://schemas.microsoft.com/office/spreadsheetml/2009/9/main" objectType="CheckBox" fmlaLink="$U$22"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U$23"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123825</xdr:colOff>
          <xdr:row>14</xdr:row>
          <xdr:rowOff>0</xdr:rowOff>
        </xdr:from>
        <xdr:to>
          <xdr:col>18</xdr:col>
          <xdr:colOff>1276350</xdr:colOff>
          <xdr:row>15</xdr:row>
          <xdr:rowOff>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A9C23F"/>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xdr:row>
          <xdr:rowOff>9525</xdr:rowOff>
        </xdr:from>
        <xdr:to>
          <xdr:col>18</xdr:col>
          <xdr:colOff>1276350</xdr:colOff>
          <xdr:row>16</xdr:row>
          <xdr:rowOff>2241</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16</xdr:row>
          <xdr:rowOff>19050</xdr:rowOff>
        </xdr:from>
        <xdr:to>
          <xdr:col>19</xdr:col>
          <xdr:colOff>0</xdr:colOff>
          <xdr:row>17</xdr:row>
          <xdr:rowOff>9525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17</xdr:row>
          <xdr:rowOff>0</xdr:rowOff>
        </xdr:from>
        <xdr:to>
          <xdr:col>19</xdr:col>
          <xdr:colOff>0</xdr:colOff>
          <xdr:row>17</xdr:row>
          <xdr:rowOff>238125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0</xdr:rowOff>
        </xdr:from>
        <xdr:to>
          <xdr:col>19</xdr:col>
          <xdr:colOff>0</xdr:colOff>
          <xdr:row>18</xdr:row>
          <xdr:rowOff>457200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19</xdr:row>
          <xdr:rowOff>19050</xdr:rowOff>
        </xdr:from>
        <xdr:to>
          <xdr:col>18</xdr:col>
          <xdr:colOff>1276350</xdr:colOff>
          <xdr:row>20</xdr:row>
          <xdr:rowOff>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20</xdr:row>
          <xdr:rowOff>9525</xdr:rowOff>
        </xdr:from>
        <xdr:to>
          <xdr:col>18</xdr:col>
          <xdr:colOff>1276350</xdr:colOff>
          <xdr:row>21</xdr:row>
          <xdr:rowOff>9525</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21</xdr:row>
          <xdr:rowOff>9525</xdr:rowOff>
        </xdr:from>
        <xdr:to>
          <xdr:col>18</xdr:col>
          <xdr:colOff>1276350</xdr:colOff>
          <xdr:row>22</xdr:row>
          <xdr:rowOff>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18</xdr:col>
      <xdr:colOff>824857</xdr:colOff>
      <xdr:row>23</xdr:row>
      <xdr:rowOff>28764</xdr:rowOff>
    </xdr:from>
    <xdr:to>
      <xdr:col>18</xdr:col>
      <xdr:colOff>1067858</xdr:colOff>
      <xdr:row>23</xdr:row>
      <xdr:rowOff>260350</xdr:rowOff>
    </xdr:to>
    <xdr:pic>
      <xdr:nvPicPr>
        <xdr:cNvPr id="14" name="Picture 13" descr="A picture containing drawing&#10;&#10;Description automatically generated">
          <a:extLst>
            <a:ext uri="{FF2B5EF4-FFF2-40B4-BE49-F238E27FC236}">
              <a16:creationId xmlns:a16="http://schemas.microsoft.com/office/drawing/2014/main" id="{00000000-0008-0000-0000-00000E000000}"/>
            </a:ext>
          </a:extLst>
        </xdr:cNvPr>
        <xdr:cNvPicPr/>
      </xdr:nvPicPr>
      <xdr:blipFill>
        <a:blip xmlns:r="http://schemas.openxmlformats.org/officeDocument/2006/relationships" r:embed="rId1">
          <a:alphaModFix amt="53000"/>
        </a:blip>
        <a:stretch>
          <a:fillRect/>
        </a:stretch>
      </xdr:blipFill>
      <xdr:spPr>
        <a:xfrm>
          <a:off x="10349857" y="7162989"/>
          <a:ext cx="243001" cy="231586"/>
        </a:xfrm>
        <a:prstGeom prst="rect">
          <a:avLst/>
        </a:prstGeom>
      </xdr:spPr>
    </xdr:pic>
    <xdr:clientData/>
  </xdr:twoCellAnchor>
  <xdr:twoCellAnchor editAs="oneCell">
    <xdr:from>
      <xdr:col>2</xdr:col>
      <xdr:colOff>113654</xdr:colOff>
      <xdr:row>1</xdr:row>
      <xdr:rowOff>85357</xdr:rowOff>
    </xdr:from>
    <xdr:to>
      <xdr:col>4</xdr:col>
      <xdr:colOff>321127</xdr:colOff>
      <xdr:row>1</xdr:row>
      <xdr:rowOff>455774</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2"/>
        <a:stretch>
          <a:fillRect/>
        </a:stretch>
      </xdr:blipFill>
      <xdr:spPr>
        <a:xfrm>
          <a:off x="113654" y="85357"/>
          <a:ext cx="759923" cy="370417"/>
        </a:xfrm>
        <a:prstGeom prst="rect">
          <a:avLst/>
        </a:prstGeom>
      </xdr:spPr>
    </xdr:pic>
    <xdr:clientData/>
  </xdr:twoCellAnchor>
  <mc:AlternateContent xmlns:mc="http://schemas.openxmlformats.org/markup-compatibility/2006">
    <mc:Choice xmlns:a14="http://schemas.microsoft.com/office/drawing/2010/main" Requires="a14">
      <xdr:twoCellAnchor>
        <xdr:from>
          <xdr:col>18</xdr:col>
          <xdr:colOff>152400</xdr:colOff>
          <xdr:row>1</xdr:row>
          <xdr:rowOff>85725</xdr:rowOff>
        </xdr:from>
        <xdr:to>
          <xdr:col>18</xdr:col>
          <xdr:colOff>1152525</xdr:colOff>
          <xdr:row>1</xdr:row>
          <xdr:rowOff>419100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22</xdr:row>
          <xdr:rowOff>19050</xdr:rowOff>
        </xdr:from>
        <xdr:to>
          <xdr:col>19</xdr:col>
          <xdr:colOff>0</xdr:colOff>
          <xdr:row>23</xdr:row>
          <xdr:rowOff>9525</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24"/>
  <sheetViews>
    <sheetView showGridLines="0" tabSelected="1" topLeftCell="C2" zoomScaleNormal="100" workbookViewId="0">
      <selection activeCell="P12" sqref="P12:Q12"/>
    </sheetView>
  </sheetViews>
  <sheetFormatPr defaultColWidth="0" defaultRowHeight="15" zeroHeight="1"/>
  <cols>
    <col min="1" max="2" width="9.140625" hidden="1" customWidth="1"/>
    <col min="3" max="4" width="4.140625" customWidth="1"/>
    <col min="5" max="15" width="9.140625" customWidth="1"/>
    <col min="16" max="16" width="15.7109375" customWidth="1"/>
    <col min="17" max="18" width="9.140625" customWidth="1"/>
    <col min="19" max="19" width="19.28515625" customWidth="1"/>
    <col min="20" max="20" width="9.140625" hidden="1" customWidth="1"/>
    <col min="21" max="22" width="18.140625" style="1" hidden="1" customWidth="1"/>
    <col min="23" max="16384" width="9.140625" hidden="1"/>
  </cols>
  <sheetData>
    <row r="1" spans="3:23" ht="15.75" hidden="1" thickBot="1"/>
    <row r="2" spans="3:23" ht="41.25" customHeight="1" thickBot="1">
      <c r="C2" s="22"/>
      <c r="D2" s="23"/>
      <c r="E2" s="24"/>
      <c r="F2" s="28" t="s">
        <v>1</v>
      </c>
      <c r="G2" s="28"/>
      <c r="H2" s="28"/>
      <c r="I2" s="28"/>
      <c r="J2" s="28"/>
      <c r="K2" s="28"/>
      <c r="L2" s="28"/>
      <c r="M2" s="28"/>
      <c r="N2" s="28"/>
      <c r="O2" s="28"/>
      <c r="P2" s="28"/>
      <c r="Q2" s="28"/>
      <c r="R2" s="24"/>
      <c r="S2" s="31">
        <v>20211105</v>
      </c>
      <c r="T2" s="6"/>
      <c r="U2"/>
    </row>
    <row r="3" spans="3:23" ht="27" customHeight="1" thickBot="1">
      <c r="C3" s="25" t="s">
        <v>17</v>
      </c>
      <c r="D3" s="26"/>
      <c r="E3" s="27"/>
      <c r="F3" s="11"/>
      <c r="G3" s="12"/>
      <c r="H3" s="13"/>
      <c r="I3" s="29" t="s">
        <v>18</v>
      </c>
      <c r="J3" s="26"/>
      <c r="K3" s="27"/>
      <c r="L3" s="9"/>
      <c r="M3" s="10"/>
      <c r="N3" s="10"/>
      <c r="O3" s="10"/>
      <c r="P3" s="30"/>
      <c r="Q3" s="30"/>
      <c r="R3" s="30"/>
      <c r="S3" s="32"/>
      <c r="T3" s="7"/>
      <c r="U3"/>
    </row>
    <row r="4" spans="3:23" ht="22.5" customHeight="1">
      <c r="C4" s="33" t="s">
        <v>21</v>
      </c>
      <c r="D4" s="34"/>
      <c r="E4" s="34"/>
      <c r="F4" s="34"/>
      <c r="G4" s="34"/>
      <c r="H4" s="34"/>
      <c r="I4" s="34"/>
      <c r="J4" s="34"/>
      <c r="K4" s="34"/>
      <c r="L4" s="34"/>
      <c r="M4" s="34"/>
      <c r="N4" s="34"/>
      <c r="O4" s="34"/>
      <c r="P4" s="34"/>
      <c r="Q4" s="34"/>
      <c r="R4" s="34"/>
      <c r="S4" s="35"/>
      <c r="U4"/>
      <c r="W4" t="s">
        <v>5</v>
      </c>
    </row>
    <row r="5" spans="3:23" ht="15.75" thickBot="1">
      <c r="C5" s="33"/>
      <c r="D5" s="34"/>
      <c r="E5" s="34"/>
      <c r="F5" s="34"/>
      <c r="G5" s="34"/>
      <c r="H5" s="34"/>
      <c r="I5" s="34"/>
      <c r="J5" s="34"/>
      <c r="K5" s="34"/>
      <c r="L5" s="34"/>
      <c r="M5" s="34"/>
      <c r="N5" s="34"/>
      <c r="O5" s="34"/>
      <c r="P5" s="34"/>
      <c r="Q5" s="34"/>
      <c r="R5" s="34"/>
      <c r="S5" s="35"/>
      <c r="U5" s="4">
        <f>EDATE(P8, 5)</f>
        <v>152</v>
      </c>
      <c r="V5" s="3">
        <f>U5+1</f>
        <v>153</v>
      </c>
      <c r="W5" t="s">
        <v>2</v>
      </c>
    </row>
    <row r="6" spans="3:23" ht="20.25" thickBot="1">
      <c r="C6" s="36" t="s">
        <v>8</v>
      </c>
      <c r="D6" s="37"/>
      <c r="E6" s="37"/>
      <c r="F6" s="37"/>
      <c r="G6" s="37"/>
      <c r="H6" s="37"/>
      <c r="I6" s="37"/>
      <c r="J6" s="37"/>
      <c r="K6" s="37"/>
      <c r="L6" s="37"/>
      <c r="M6" s="37"/>
      <c r="N6" s="37"/>
      <c r="O6" s="37"/>
      <c r="P6" s="37"/>
      <c r="Q6" s="37"/>
      <c r="R6" s="37"/>
      <c r="S6" s="38"/>
      <c r="U6" s="4">
        <f>EDATE(P8, 6)</f>
        <v>182</v>
      </c>
      <c r="V6" s="3">
        <f>U6+1</f>
        <v>183</v>
      </c>
      <c r="W6" t="s">
        <v>3</v>
      </c>
    </row>
    <row r="7" spans="3:23" ht="17.25" thickBot="1">
      <c r="C7" s="39" t="s">
        <v>13</v>
      </c>
      <c r="D7" s="40"/>
      <c r="E7" s="40"/>
      <c r="F7" s="40"/>
      <c r="G7" s="40"/>
      <c r="H7" s="40"/>
      <c r="I7" s="40"/>
      <c r="J7" s="40"/>
      <c r="K7" s="40"/>
      <c r="L7" s="40"/>
      <c r="M7" s="40"/>
      <c r="N7" s="40"/>
      <c r="O7" s="40"/>
      <c r="P7" s="17"/>
      <c r="Q7" s="18"/>
      <c r="R7" s="19"/>
      <c r="S7" s="44"/>
      <c r="U7" s="4">
        <f>P7+210</f>
        <v>210</v>
      </c>
      <c r="V7" s="3">
        <f>U7+1</f>
        <v>211</v>
      </c>
      <c r="W7" t="s">
        <v>4</v>
      </c>
    </row>
    <row r="8" spans="3:23" ht="16.5">
      <c r="C8" s="39" t="s">
        <v>22</v>
      </c>
      <c r="D8" s="40"/>
      <c r="E8" s="40"/>
      <c r="F8" s="40"/>
      <c r="G8" s="40"/>
      <c r="H8" s="40"/>
      <c r="I8" s="40"/>
      <c r="J8" s="40"/>
      <c r="K8" s="40"/>
      <c r="L8" s="40"/>
      <c r="M8" s="40"/>
      <c r="N8" s="40"/>
      <c r="O8" s="40"/>
      <c r="P8" s="14"/>
      <c r="Q8" s="15"/>
      <c r="R8" s="16"/>
      <c r="S8" s="44"/>
      <c r="U8"/>
    </row>
    <row r="9" spans="3:23" ht="18.75" customHeight="1">
      <c r="C9" s="41" t="s">
        <v>19</v>
      </c>
      <c r="D9" s="42"/>
      <c r="E9" s="42"/>
      <c r="F9" s="42"/>
      <c r="G9" s="42"/>
      <c r="H9" s="42"/>
      <c r="I9" s="42"/>
      <c r="J9" s="42"/>
      <c r="K9" s="42"/>
      <c r="L9" s="42"/>
      <c r="M9" s="42"/>
      <c r="N9" s="42"/>
      <c r="O9" s="42"/>
      <c r="P9" s="43">
        <f>MAX(U5,U6,U7)</f>
        <v>210</v>
      </c>
      <c r="Q9" s="43"/>
      <c r="R9" s="43"/>
      <c r="S9" s="44"/>
      <c r="V9" s="1" t="s">
        <v>6</v>
      </c>
    </row>
    <row r="10" spans="3:23" ht="14.25" customHeight="1" thickBot="1">
      <c r="C10" s="41" t="s">
        <v>20</v>
      </c>
      <c r="D10" s="42"/>
      <c r="E10" s="42"/>
      <c r="F10" s="42"/>
      <c r="G10" s="42"/>
      <c r="H10" s="42"/>
      <c r="I10" s="42"/>
      <c r="J10" s="42"/>
      <c r="K10" s="42"/>
      <c r="L10" s="42"/>
      <c r="M10" s="42"/>
      <c r="N10" s="42"/>
      <c r="O10" s="42"/>
      <c r="P10" s="43">
        <f>U14</f>
        <v>214</v>
      </c>
      <c r="Q10" s="43"/>
      <c r="R10" s="43"/>
      <c r="S10" s="44"/>
    </row>
    <row r="11" spans="3:23" ht="20.25" thickBot="1">
      <c r="C11" s="36" t="s">
        <v>0</v>
      </c>
      <c r="D11" s="37"/>
      <c r="E11" s="37"/>
      <c r="F11" s="37"/>
      <c r="G11" s="37"/>
      <c r="H11" s="37"/>
      <c r="I11" s="37"/>
      <c r="J11" s="37"/>
      <c r="K11" s="37"/>
      <c r="L11" s="37"/>
      <c r="M11" s="37"/>
      <c r="N11" s="37"/>
      <c r="O11" s="37"/>
      <c r="P11" s="37"/>
      <c r="Q11" s="37"/>
      <c r="R11" s="37"/>
      <c r="S11" s="38"/>
      <c r="U11" s="1" t="s">
        <v>10</v>
      </c>
    </row>
    <row r="12" spans="3:23" ht="17.25" thickBot="1">
      <c r="C12" s="45" t="s">
        <v>15</v>
      </c>
      <c r="D12" s="46"/>
      <c r="E12" s="46"/>
      <c r="F12" s="46"/>
      <c r="G12" s="46"/>
      <c r="H12" s="46"/>
      <c r="I12" s="46"/>
      <c r="J12" s="46"/>
      <c r="K12" s="46"/>
      <c r="L12" s="46"/>
      <c r="M12" s="46"/>
      <c r="N12" s="46"/>
      <c r="O12" s="47"/>
      <c r="P12" s="20" t="s">
        <v>10</v>
      </c>
      <c r="Q12" s="21"/>
      <c r="R12" s="5"/>
      <c r="S12" s="51"/>
      <c r="U12" s="1" t="s">
        <v>11</v>
      </c>
    </row>
    <row r="13" spans="3:23" ht="34.5" customHeight="1" thickBot="1">
      <c r="C13" s="48" t="str">
        <f>IF(P12="Select Answer"," ",IF(P12="Yes","Based on the information entered, this is a CREDIT-QUALIFYING STREAMLINE and additional conditions will apply once reviewed by underwriting. Full income and credit review must be completed.",IF(P12="No","Based on the informtation entered, this transaction is a NON-CREDIT QUALIFYING STREAMLINE.","The Senior Underwriter will review and determine whether this transaction is a credit-qualifying Streamline. Additional conditions may apply.")))</f>
        <v xml:space="preserve"> </v>
      </c>
      <c r="D13" s="49"/>
      <c r="E13" s="49"/>
      <c r="F13" s="49"/>
      <c r="G13" s="49"/>
      <c r="H13" s="49"/>
      <c r="I13" s="49"/>
      <c r="J13" s="49"/>
      <c r="K13" s="49"/>
      <c r="L13" s="49"/>
      <c r="M13" s="49"/>
      <c r="N13" s="49"/>
      <c r="O13" s="49"/>
      <c r="P13" s="49"/>
      <c r="Q13" s="49"/>
      <c r="R13" s="49"/>
      <c r="S13" s="50"/>
      <c r="U13" s="1" t="s">
        <v>12</v>
      </c>
    </row>
    <row r="14" spans="3:23" ht="20.25" thickBot="1">
      <c r="C14" s="36" t="s">
        <v>9</v>
      </c>
      <c r="D14" s="37"/>
      <c r="E14" s="37"/>
      <c r="F14" s="37"/>
      <c r="G14" s="37"/>
      <c r="H14" s="37"/>
      <c r="I14" s="37"/>
      <c r="J14" s="37"/>
      <c r="K14" s="37"/>
      <c r="L14" s="37"/>
      <c r="M14" s="37"/>
      <c r="N14" s="37"/>
      <c r="O14" s="37"/>
      <c r="P14" s="37"/>
      <c r="Q14" s="37"/>
      <c r="R14" s="37"/>
      <c r="S14" s="38"/>
      <c r="U14" s="3">
        <f>DATE(YEAR(V14),MONTH(V14)+1,1)</f>
        <v>214</v>
      </c>
      <c r="V14" s="3">
        <f>P8+210</f>
        <v>210</v>
      </c>
      <c r="W14" t="s">
        <v>7</v>
      </c>
    </row>
    <row r="15" spans="3:23" ht="18.75" customHeight="1">
      <c r="C15" s="52"/>
      <c r="D15" s="53"/>
      <c r="E15" s="54" t="s">
        <v>23</v>
      </c>
      <c r="F15" s="55"/>
      <c r="G15" s="55"/>
      <c r="H15" s="55"/>
      <c r="I15" s="55"/>
      <c r="J15" s="55"/>
      <c r="K15" s="55"/>
      <c r="L15" s="55"/>
      <c r="M15" s="55"/>
      <c r="N15" s="55"/>
      <c r="O15" s="55"/>
      <c r="P15" s="55"/>
      <c r="Q15" s="55"/>
      <c r="R15" s="55"/>
      <c r="S15" s="56"/>
      <c r="U15" s="1" t="b">
        <v>0</v>
      </c>
    </row>
    <row r="16" spans="3:23" ht="54" customHeight="1">
      <c r="C16" s="57"/>
      <c r="D16" s="58"/>
      <c r="E16" s="59" t="s">
        <v>27</v>
      </c>
      <c r="F16" s="60"/>
      <c r="G16" s="60"/>
      <c r="H16" s="60"/>
      <c r="I16" s="60"/>
      <c r="J16" s="60"/>
      <c r="K16" s="60"/>
      <c r="L16" s="60"/>
      <c r="M16" s="60"/>
      <c r="N16" s="60"/>
      <c r="O16" s="60"/>
      <c r="P16" s="60"/>
      <c r="Q16" s="60"/>
      <c r="R16" s="60"/>
      <c r="S16" s="61"/>
      <c r="U16" s="1" t="b">
        <v>0</v>
      </c>
    </row>
    <row r="17" spans="1:22" ht="18.75" customHeight="1">
      <c r="C17" s="62"/>
      <c r="D17" s="63"/>
      <c r="E17" s="64" t="s">
        <v>24</v>
      </c>
      <c r="F17" s="65"/>
      <c r="G17" s="65"/>
      <c r="H17" s="65"/>
      <c r="I17" s="65"/>
      <c r="J17" s="65"/>
      <c r="K17" s="65"/>
      <c r="L17" s="65"/>
      <c r="M17" s="65"/>
      <c r="N17" s="65"/>
      <c r="O17" s="65"/>
      <c r="P17" s="65"/>
      <c r="Q17" s="65"/>
      <c r="R17" s="65"/>
      <c r="S17" s="66"/>
      <c r="U17" s="2" t="b">
        <v>0</v>
      </c>
      <c r="V17" s="2"/>
    </row>
    <row r="18" spans="1:22" ht="19.5" customHeight="1">
      <c r="C18" s="67"/>
      <c r="D18" s="68"/>
      <c r="E18" s="69" t="s">
        <v>25</v>
      </c>
      <c r="F18" s="70"/>
      <c r="G18" s="70"/>
      <c r="H18" s="70"/>
      <c r="I18" s="70"/>
      <c r="J18" s="70"/>
      <c r="K18" s="70"/>
      <c r="L18" s="70"/>
      <c r="M18" s="70"/>
      <c r="N18" s="70"/>
      <c r="O18" s="70"/>
      <c r="P18" s="70"/>
      <c r="Q18" s="70"/>
      <c r="R18" s="70"/>
      <c r="S18" s="71"/>
      <c r="U18" s="1" t="b">
        <v>0</v>
      </c>
    </row>
    <row r="19" spans="1:22" ht="36.75" customHeight="1">
      <c r="C19" s="67"/>
      <c r="D19" s="68"/>
      <c r="E19" s="72" t="s">
        <v>28</v>
      </c>
      <c r="F19" s="73"/>
      <c r="G19" s="73"/>
      <c r="H19" s="73"/>
      <c r="I19" s="73"/>
      <c r="J19" s="73"/>
      <c r="K19" s="73"/>
      <c r="L19" s="73"/>
      <c r="M19" s="73"/>
      <c r="N19" s="73"/>
      <c r="O19" s="73"/>
      <c r="P19" s="73"/>
      <c r="Q19" s="73"/>
      <c r="R19" s="73"/>
      <c r="S19" s="74"/>
      <c r="U19" s="1" t="b">
        <v>0</v>
      </c>
    </row>
    <row r="20" spans="1:22" ht="52.5" customHeight="1">
      <c r="C20" s="67"/>
      <c r="D20" s="68"/>
      <c r="E20" s="72" t="s">
        <v>26</v>
      </c>
      <c r="F20" s="73"/>
      <c r="G20" s="73"/>
      <c r="H20" s="73"/>
      <c r="I20" s="73"/>
      <c r="J20" s="73"/>
      <c r="K20" s="73"/>
      <c r="L20" s="73"/>
      <c r="M20" s="73"/>
      <c r="N20" s="73"/>
      <c r="O20" s="73"/>
      <c r="P20" s="73"/>
      <c r="Q20" s="73"/>
      <c r="R20" s="73"/>
      <c r="S20" s="74"/>
      <c r="U20" s="1" t="b">
        <v>0</v>
      </c>
    </row>
    <row r="21" spans="1:22" ht="18.75" customHeight="1">
      <c r="C21" s="67"/>
      <c r="D21" s="68"/>
      <c r="E21" s="72" t="s">
        <v>29</v>
      </c>
      <c r="F21" s="73"/>
      <c r="G21" s="73"/>
      <c r="H21" s="73"/>
      <c r="I21" s="73"/>
      <c r="J21" s="73"/>
      <c r="K21" s="73"/>
      <c r="L21" s="73"/>
      <c r="M21" s="73"/>
      <c r="N21" s="73"/>
      <c r="O21" s="73"/>
      <c r="P21" s="73"/>
      <c r="Q21" s="73"/>
      <c r="R21" s="73"/>
      <c r="S21" s="74"/>
      <c r="U21" s="1" t="b">
        <v>0</v>
      </c>
    </row>
    <row r="22" spans="1:22" ht="18.75" customHeight="1">
      <c r="C22" s="67"/>
      <c r="D22" s="68"/>
      <c r="E22" s="73" t="s">
        <v>30</v>
      </c>
      <c r="F22" s="73"/>
      <c r="G22" s="73"/>
      <c r="H22" s="73"/>
      <c r="I22" s="73"/>
      <c r="J22" s="73"/>
      <c r="K22" s="73"/>
      <c r="L22" s="73"/>
      <c r="M22" s="73"/>
      <c r="N22" s="73"/>
      <c r="O22" s="73"/>
      <c r="P22" s="73"/>
      <c r="Q22" s="73"/>
      <c r="R22" s="73"/>
      <c r="S22" s="74"/>
      <c r="U22" s="1" t="b">
        <v>0</v>
      </c>
    </row>
    <row r="23" spans="1:22" ht="38.25" customHeight="1" thickBot="1">
      <c r="C23" s="62"/>
      <c r="D23" s="63"/>
      <c r="E23" s="75" t="s">
        <v>31</v>
      </c>
      <c r="F23" s="76"/>
      <c r="G23" s="76"/>
      <c r="H23" s="76"/>
      <c r="I23" s="76"/>
      <c r="J23" s="76"/>
      <c r="K23" s="76"/>
      <c r="L23" s="76"/>
      <c r="M23" s="76"/>
      <c r="N23" s="76"/>
      <c r="O23" s="76"/>
      <c r="P23" s="76"/>
      <c r="Q23" s="76"/>
      <c r="R23" s="76"/>
      <c r="S23" s="77"/>
      <c r="U23" s="1" t="b">
        <v>0</v>
      </c>
    </row>
    <row r="24" spans="1:22" ht="21.75" customHeight="1">
      <c r="A24" s="8"/>
      <c r="B24" s="8"/>
      <c r="C24" s="78" t="s">
        <v>16</v>
      </c>
      <c r="D24" s="78"/>
      <c r="E24" s="78"/>
      <c r="F24" s="78"/>
      <c r="G24" s="78" t="s">
        <v>14</v>
      </c>
      <c r="H24" s="78"/>
      <c r="I24" s="78"/>
      <c r="J24" s="78"/>
      <c r="K24" s="78"/>
      <c r="L24" s="78"/>
      <c r="M24" s="78"/>
      <c r="N24" s="78"/>
      <c r="O24" s="78"/>
      <c r="P24" s="78"/>
      <c r="Q24" s="78"/>
      <c r="R24" s="78"/>
      <c r="S24" s="78"/>
    </row>
  </sheetData>
  <sheetProtection algorithmName="SHA-512" hashValue="dT1Zaz3tI34EBYbevalIuj76BV8iDhQxMDoQRxkQandIBD1v3T0SiBdZYdrHbHwiJ5QYMOPSfpFNYqeOwnKZ+Q==" saltValue="q8YCdWCADdiULLXsMVj2Ow==" spinCount="100000" sheet="1" objects="1" scenarios="1" selectLockedCells="1"/>
  <mergeCells count="38">
    <mergeCell ref="C12:O12"/>
    <mergeCell ref="P12:Q12"/>
    <mergeCell ref="C13:S13"/>
    <mergeCell ref="C11:S11"/>
    <mergeCell ref="C20:D20"/>
    <mergeCell ref="E18:S18"/>
    <mergeCell ref="I3:K3"/>
    <mergeCell ref="L3:O3"/>
    <mergeCell ref="C21:D21"/>
    <mergeCell ref="E17:S17"/>
    <mergeCell ref="C15:D15"/>
    <mergeCell ref="C16:D16"/>
    <mergeCell ref="C3:E3"/>
    <mergeCell ref="F3:H3"/>
    <mergeCell ref="C8:O8"/>
    <mergeCell ref="C9:O9"/>
    <mergeCell ref="P8:R8"/>
    <mergeCell ref="P9:R9"/>
    <mergeCell ref="C7:O7"/>
    <mergeCell ref="P7:R7"/>
    <mergeCell ref="C4:S5"/>
    <mergeCell ref="C6:S6"/>
    <mergeCell ref="G24:S24"/>
    <mergeCell ref="C24:F24"/>
    <mergeCell ref="F2:Q2"/>
    <mergeCell ref="E23:S23"/>
    <mergeCell ref="C10:O10"/>
    <mergeCell ref="P10:R10"/>
    <mergeCell ref="E16:S16"/>
    <mergeCell ref="C14:S14"/>
    <mergeCell ref="E15:S15"/>
    <mergeCell ref="C22:D22"/>
    <mergeCell ref="E22:S22"/>
    <mergeCell ref="C18:D18"/>
    <mergeCell ref="C19:D19"/>
    <mergeCell ref="E21:S21"/>
    <mergeCell ref="E19:S19"/>
    <mergeCell ref="E20:S20"/>
  </mergeCells>
  <conditionalFormatting sqref="C9:R10">
    <cfRule type="expression" dxfId="11" priority="18">
      <formula>ISBLANK($P$8)</formula>
    </cfRule>
    <cfRule type="expression" dxfId="10" priority="19">
      <formula>ISBLANK($P$7)</formula>
    </cfRule>
  </conditionalFormatting>
  <conditionalFormatting sqref="E15:S15">
    <cfRule type="expression" dxfId="9" priority="1">
      <formula>$U$15=TRUE</formula>
    </cfRule>
  </conditionalFormatting>
  <conditionalFormatting sqref="E16:S16">
    <cfRule type="expression" dxfId="8" priority="2">
      <formula>$U$16=TRUE</formula>
    </cfRule>
  </conditionalFormatting>
  <conditionalFormatting sqref="E17:S17">
    <cfRule type="expression" dxfId="7" priority="3">
      <formula>$U$17=TRUE</formula>
    </cfRule>
  </conditionalFormatting>
  <conditionalFormatting sqref="E18:S18">
    <cfRule type="expression" dxfId="6" priority="4">
      <formula>$U$18=TRUE</formula>
    </cfRule>
  </conditionalFormatting>
  <conditionalFormatting sqref="E19:S19">
    <cfRule type="expression" dxfId="5" priority="5">
      <formula>$U$19=TRUE</formula>
    </cfRule>
  </conditionalFormatting>
  <conditionalFormatting sqref="E20:S20">
    <cfRule type="expression" dxfId="4" priority="6">
      <formula>$U$20=TRUE</formula>
    </cfRule>
  </conditionalFormatting>
  <conditionalFormatting sqref="E21:S21">
    <cfRule type="expression" dxfId="3" priority="7">
      <formula>$U$21=TRUE</formula>
    </cfRule>
  </conditionalFormatting>
  <conditionalFormatting sqref="E22:S22">
    <cfRule type="expression" dxfId="2" priority="8">
      <formula>$U$22=TRUE</formula>
    </cfRule>
  </conditionalFormatting>
  <conditionalFormatting sqref="E23:S23">
    <cfRule type="expression" dxfId="1" priority="9">
      <formula>$U$23=TRUE</formula>
    </cfRule>
  </conditionalFormatting>
  <conditionalFormatting sqref="P7:R8">
    <cfRule type="containsBlanks" dxfId="0" priority="37">
      <formula>LEN(TRIM(P7))=0</formula>
    </cfRule>
  </conditionalFormatting>
  <dataValidations count="1">
    <dataValidation type="list" allowBlank="1" showInputMessage="1" showErrorMessage="1" sqref="P12:Q12" xr:uid="{00000000-0002-0000-0000-000000000000}">
      <formula1>$U$11:$U$13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
              <controlPr locked="0" defaultSize="0" autoFill="0" autoLine="0" autoPict="0">
                <anchor moveWithCells="1">
                  <from>
                    <xdr:col>2</xdr:col>
                    <xdr:colOff>123825</xdr:colOff>
                    <xdr:row>14</xdr:row>
                    <xdr:rowOff>0</xdr:rowOff>
                  </from>
                  <to>
                    <xdr:col>18</xdr:col>
                    <xdr:colOff>1276350</xdr:colOff>
                    <xdr:row>15</xdr:row>
                    <xdr:rowOff>0</xdr:rowOff>
                  </to>
                </anchor>
              </controlPr>
            </control>
          </mc:Choice>
        </mc:AlternateContent>
        <mc:AlternateContent xmlns:mc="http://schemas.openxmlformats.org/markup-compatibility/2006">
          <mc:Choice Requires="x14">
            <control shapeId="1028" r:id="rId5" name="Check Box 4">
              <controlPr locked="0" defaultSize="0" autoFill="0" autoLine="0" autoPict="0">
                <anchor moveWithCells="1">
                  <from>
                    <xdr:col>2</xdr:col>
                    <xdr:colOff>123825</xdr:colOff>
                    <xdr:row>15</xdr:row>
                    <xdr:rowOff>9525</xdr:rowOff>
                  </from>
                  <to>
                    <xdr:col>18</xdr:col>
                    <xdr:colOff>1276350</xdr:colOff>
                    <xdr:row>15</xdr:row>
                    <xdr:rowOff>685800</xdr:rowOff>
                  </to>
                </anchor>
              </controlPr>
            </control>
          </mc:Choice>
        </mc:AlternateContent>
        <mc:AlternateContent xmlns:mc="http://schemas.openxmlformats.org/markup-compatibility/2006">
          <mc:Choice Requires="x14">
            <control shapeId="1029" r:id="rId6" name="Check Box 5">
              <controlPr locked="0" defaultSize="0" autoFill="0" autoLine="0" autoPict="0">
                <anchor moveWithCells="1">
                  <from>
                    <xdr:col>2</xdr:col>
                    <xdr:colOff>123825</xdr:colOff>
                    <xdr:row>16</xdr:row>
                    <xdr:rowOff>19050</xdr:rowOff>
                  </from>
                  <to>
                    <xdr:col>19</xdr:col>
                    <xdr:colOff>0</xdr:colOff>
                    <xdr:row>17</xdr:row>
                    <xdr:rowOff>9525</xdr:rowOff>
                  </to>
                </anchor>
              </controlPr>
            </control>
          </mc:Choice>
        </mc:AlternateContent>
        <mc:AlternateContent xmlns:mc="http://schemas.openxmlformats.org/markup-compatibility/2006">
          <mc:Choice Requires="x14">
            <control shapeId="1030" r:id="rId7" name="Check Box 6">
              <controlPr locked="0" defaultSize="0" autoFill="0" autoLine="0" autoPict="0">
                <anchor moveWithCells="1">
                  <from>
                    <xdr:col>2</xdr:col>
                    <xdr:colOff>123825</xdr:colOff>
                    <xdr:row>17</xdr:row>
                    <xdr:rowOff>0</xdr:rowOff>
                  </from>
                  <to>
                    <xdr:col>19</xdr:col>
                    <xdr:colOff>0</xdr:colOff>
                    <xdr:row>17</xdr:row>
                    <xdr:rowOff>238125</xdr:rowOff>
                  </to>
                </anchor>
              </controlPr>
            </control>
          </mc:Choice>
        </mc:AlternateContent>
        <mc:AlternateContent xmlns:mc="http://schemas.openxmlformats.org/markup-compatibility/2006">
          <mc:Choice Requires="x14">
            <control shapeId="1031" r:id="rId8" name="Check Box 7">
              <controlPr locked="0" defaultSize="0" autoFill="0" autoLine="0" autoPict="0">
                <anchor moveWithCells="1">
                  <from>
                    <xdr:col>2</xdr:col>
                    <xdr:colOff>123825</xdr:colOff>
                    <xdr:row>18</xdr:row>
                    <xdr:rowOff>0</xdr:rowOff>
                  </from>
                  <to>
                    <xdr:col>19</xdr:col>
                    <xdr:colOff>0</xdr:colOff>
                    <xdr:row>18</xdr:row>
                    <xdr:rowOff>457200</xdr:rowOff>
                  </to>
                </anchor>
              </controlPr>
            </control>
          </mc:Choice>
        </mc:AlternateContent>
        <mc:AlternateContent xmlns:mc="http://schemas.openxmlformats.org/markup-compatibility/2006">
          <mc:Choice Requires="x14">
            <control shapeId="1032" r:id="rId9" name="Check Box 8">
              <controlPr locked="0" defaultSize="0" autoFill="0" autoLine="0" autoPict="0">
                <anchor moveWithCells="1">
                  <from>
                    <xdr:col>2</xdr:col>
                    <xdr:colOff>123825</xdr:colOff>
                    <xdr:row>19</xdr:row>
                    <xdr:rowOff>19050</xdr:rowOff>
                  </from>
                  <to>
                    <xdr:col>18</xdr:col>
                    <xdr:colOff>1276350</xdr:colOff>
                    <xdr:row>20</xdr:row>
                    <xdr:rowOff>0</xdr:rowOff>
                  </to>
                </anchor>
              </controlPr>
            </control>
          </mc:Choice>
        </mc:AlternateContent>
        <mc:AlternateContent xmlns:mc="http://schemas.openxmlformats.org/markup-compatibility/2006">
          <mc:Choice Requires="x14">
            <control shapeId="1033" r:id="rId10" name="Check Box 9">
              <controlPr locked="0" defaultSize="0" autoFill="0" autoLine="0" autoPict="0">
                <anchor moveWithCells="1">
                  <from>
                    <xdr:col>2</xdr:col>
                    <xdr:colOff>123825</xdr:colOff>
                    <xdr:row>20</xdr:row>
                    <xdr:rowOff>9525</xdr:rowOff>
                  </from>
                  <to>
                    <xdr:col>18</xdr:col>
                    <xdr:colOff>1276350</xdr:colOff>
                    <xdr:row>21</xdr:row>
                    <xdr:rowOff>9525</xdr:rowOff>
                  </to>
                </anchor>
              </controlPr>
            </control>
          </mc:Choice>
        </mc:AlternateContent>
        <mc:AlternateContent xmlns:mc="http://schemas.openxmlformats.org/markup-compatibility/2006">
          <mc:Choice Requires="x14">
            <control shapeId="1034" r:id="rId11" name="Check Box 10">
              <controlPr locked="0" defaultSize="0" autoFill="0" autoLine="0" autoPict="0">
                <anchor moveWithCells="1">
                  <from>
                    <xdr:col>2</xdr:col>
                    <xdr:colOff>123825</xdr:colOff>
                    <xdr:row>21</xdr:row>
                    <xdr:rowOff>9525</xdr:rowOff>
                  </from>
                  <to>
                    <xdr:col>18</xdr:col>
                    <xdr:colOff>1276350</xdr:colOff>
                    <xdr:row>22</xdr:row>
                    <xdr:rowOff>0</xdr:rowOff>
                  </to>
                </anchor>
              </controlPr>
            </control>
          </mc:Choice>
        </mc:AlternateContent>
        <mc:AlternateContent xmlns:mc="http://schemas.openxmlformats.org/markup-compatibility/2006">
          <mc:Choice Requires="x14">
            <control shapeId="1037" r:id="rId12" name="Button 13">
              <controlPr locked="0" defaultSize="0" print="0" autoFill="0" autoPict="0" macro="[0]!Button13_Click">
                <anchor moveWithCells="1" sizeWithCells="1">
                  <from>
                    <xdr:col>18</xdr:col>
                    <xdr:colOff>152400</xdr:colOff>
                    <xdr:row>1</xdr:row>
                    <xdr:rowOff>85725</xdr:rowOff>
                  </from>
                  <to>
                    <xdr:col>18</xdr:col>
                    <xdr:colOff>1152525</xdr:colOff>
                    <xdr:row>1</xdr:row>
                    <xdr:rowOff>419100</xdr:rowOff>
                  </to>
                </anchor>
              </controlPr>
            </control>
          </mc:Choice>
        </mc:AlternateContent>
        <mc:AlternateContent xmlns:mc="http://schemas.openxmlformats.org/markup-compatibility/2006">
          <mc:Choice Requires="x14">
            <control shapeId="1039" r:id="rId13" name="Check Box 15">
              <controlPr locked="0" defaultSize="0" autoFill="0" autoLine="0" autoPict="0">
                <anchor moveWithCells="1">
                  <from>
                    <xdr:col>2</xdr:col>
                    <xdr:colOff>123825</xdr:colOff>
                    <xdr:row>22</xdr:row>
                    <xdr:rowOff>19050</xdr:rowOff>
                  </from>
                  <to>
                    <xdr:col>19</xdr:col>
                    <xdr:colOff>0</xdr:colOff>
                    <xdr:row>23</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Sheet1</vt:lpstr>
      <vt:lpstr>LastName</vt:lpstr>
      <vt:lpstr>LoanNum</vt:lpstr>
    </vt:vector>
  </TitlesOfParts>
  <Company>USFS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Megan Lapanowski</dc:creator>
  <cp:lastModifiedBy>Joe DiGiacomo</cp:lastModifiedBy>
  <dcterms:created xsi:type="dcterms:W3CDTF">2020-03-13T19:48:01Z</dcterms:created>
  <dcterms:modified xsi:type="dcterms:W3CDTF">2025-08-29T15:18:37Z</dcterms:modified>
</cp:coreProperties>
</file>