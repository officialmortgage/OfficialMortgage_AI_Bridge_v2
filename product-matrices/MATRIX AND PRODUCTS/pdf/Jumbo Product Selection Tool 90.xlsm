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Y:\Training\Underwriting\Academy Documents\Product Specific (CONV, FHA, VA, USDA)\Non-Agency (ALL)\Jumbo Rainbow\Jumbo differences calc\"/>
    </mc:Choice>
  </mc:AlternateContent>
  <xr:revisionPtr revIDLastSave="0" documentId="13_ncr:1_{8666566A-2C33-45EA-AD2B-EEDD00A3AC5E}" xr6:coauthVersionLast="47" xr6:coauthVersionMax="47" xr10:uidLastSave="{00000000-0000-0000-0000-000000000000}"/>
  <workbookProtection workbookAlgorithmName="SHA-512" workbookHashValue="R6tMV7DNbMa7s2GMKzaLz1P4if3fo5C8m0emaPQBRJPZHfZsbwQx7h7ENZUSiY8D668NFX5D8934io9TxbFfQg==" workbookSaltValue="GCglviyTi6/x5SeJwYNbcA==" workbookSpinCount="100000" lockStructure="1"/>
  <bookViews>
    <workbookView xWindow="-120" yWindow="-120" windowWidth="29040" windowHeight="15720" xr2:uid="{00000000-000D-0000-FFFF-FFFF00000000}"/>
  </bookViews>
  <sheets>
    <sheet name="Jumbo Product Selection" sheetId="5" r:id="rId1"/>
    <sheet name="Jumbo Comparison Guide" sheetId="2" r:id="rId2"/>
    <sheet name="Guidelines" sheetId="4" state="hidden" r:id="rId3"/>
    <sheet name="Lists" sheetId="6" state="hidden" r:id="rId4"/>
    <sheet name="Eligible Product Breakdown" sheetId="7" state="hidden" r:id="rId5"/>
    <sheet name="List" sheetId="3" state="hidden" r:id="rId6"/>
  </sheet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 i="5" l="1"/>
  <c r="D7" i="5"/>
  <c r="J8" i="2" l="1"/>
  <c r="K8" i="2"/>
  <c r="I35" i="5" l="1"/>
  <c r="I10" i="5" l="1"/>
</calcChain>
</file>

<file path=xl/sharedStrings.xml><?xml version="1.0" encoding="utf-8"?>
<sst xmlns="http://schemas.openxmlformats.org/spreadsheetml/2006/main" count="1097" uniqueCount="460">
  <si>
    <t>Max LTV</t>
  </si>
  <si>
    <t>Max DTI</t>
  </si>
  <si>
    <t>120 Days</t>
  </si>
  <si>
    <t>Declining Market</t>
  </si>
  <si>
    <t>No Restriction</t>
  </si>
  <si>
    <t xml:space="preserve">No Restriction </t>
  </si>
  <si>
    <t>Temp Rate Buydown</t>
  </si>
  <si>
    <t xml:space="preserve">Ineligible </t>
  </si>
  <si>
    <t>1-0 and 2-1 Lender Paid and Seller Paid Temporary Buydowns offered on 30 Year Primary and Second Home Purchases</t>
  </si>
  <si>
    <t xml:space="preserve">Geographical Restrictions </t>
  </si>
  <si>
    <t>Texas50(a)6</t>
  </si>
  <si>
    <t>IPC</t>
  </si>
  <si>
    <t xml:space="preserve">Ineligible Features </t>
  </si>
  <si>
    <t>Amortization Recasts</t>
  </si>
  <si>
    <t>Eligible Residency</t>
  </si>
  <si>
    <t>US Citizens, Permanent Residents, Non-Permanent Residents</t>
  </si>
  <si>
    <t>Ineligible Borrowers</t>
  </si>
  <si>
    <t>N/A</t>
  </si>
  <si>
    <t xml:space="preserve">Permanent Resident Alien - Documentation </t>
  </si>
  <si>
    <t>• A valid and current Permanent Resident card (Form I-551) also known as a green card; OR
• A passport stamped processed for I-551, temporary evidence of lawful admission for permanent residence. Valid until ___, Employment authorized. It must evidence the holder has been approved for, but not issued, a Permanent Resident card
• If the Permanent Resident Card is expiring within six (6) months of the Note Date, include a copy of the United States Citizenship and Immigration Services (USCIS) Form I-90 (Application to Replace Permanent Resident Alien Card) filing receipt</t>
  </si>
  <si>
    <t xml:space="preserve">Non-Permanent Resident Alien - Documentation </t>
  </si>
  <si>
    <t>Non-Occupying Co-Borrowers</t>
  </si>
  <si>
    <t xml:space="preserve">Eligible </t>
  </si>
  <si>
    <t>Eligible</t>
  </si>
  <si>
    <t xml:space="preserve">Pending Lawsuit </t>
  </si>
  <si>
    <t>Borrowers party to a lawsuit are ineligible</t>
  </si>
  <si>
    <t>First-Time Homebuyer</t>
  </si>
  <si>
    <t>• Max loan amount of $1,500,000
• Primary and Second homes only
• Borrowers living rent free must meet the following minimum tradeline requirements:
• Minimum 3 tradelines with at least 1 tradeline open for a minimum 24 months from the application date
• 1 tradeline must have had activity in the past 12 months from the 1003 date
• The minimum of 3 tradelines must have had no significant adverse credit, such as charge offs or collections
• Authorized user accounts cannot be used in the determination of minimum tradelines</t>
  </si>
  <si>
    <t>Payoff of non-purchase money seconds, including HELOC’s allowed with 12-month seasoning. For HELOC’s, document no cumulative draws &gt;$2,000 in the last 12 months from application date</t>
  </si>
  <si>
    <t>Cash-Out - Max Cash Back</t>
  </si>
  <si>
    <t xml:space="preserve">Property must have been owned at least 12 months. Transactions on properties owned less than 12 months are ineligible </t>
  </si>
  <si>
    <t>Texas 50(a)(6) and Texas Conversion loans are ineligible</t>
  </si>
  <si>
    <t xml:space="preserve">Not eligible </t>
  </si>
  <si>
    <t>Continuity of Obligation requirements do not apply when there is no existing mortgage on the subject property</t>
  </si>
  <si>
    <t>Continuity of Obligation - General</t>
  </si>
  <si>
    <t xml:space="preserve">Continuity of Obligation - When Inherited </t>
  </si>
  <si>
    <t xml:space="preserve">Construction to Perm Financing </t>
  </si>
  <si>
    <t>Only detached single-family residences are eligible for New Construction Financing</t>
  </si>
  <si>
    <t>Construction to Perm</t>
  </si>
  <si>
    <t>Contracts for Deed / Land Contracts</t>
  </si>
  <si>
    <t xml:space="preserve">Inherited Properties </t>
  </si>
  <si>
    <t>Property Listed for Sale (Refi)</t>
  </si>
  <si>
    <t>Must remove listing prior to clear to close</t>
  </si>
  <si>
    <t>Assignment of Contract / Multiple Purchase Contracts</t>
  </si>
  <si>
    <t>Subordinate Financing on Refi</t>
  </si>
  <si>
    <t>Credit Inquiries</t>
  </si>
  <si>
    <t xml:space="preserve">Time-Share Obligation </t>
  </si>
  <si>
    <t>Garnishments</t>
  </si>
  <si>
    <t>All balloon payment notes that are due within twelve (12) months of loan closing must be considered in the qualifying DTI based on payment determined by the credit report or terms of obligation (independently verified).</t>
  </si>
  <si>
    <t>The revolving debt must be fully paid off to be excluded from the borrowers’ DTI. All funds used to pay off revolving debt must be sourced. Supporting documentation, such as a credit supplement or direct verification from the creditor, must be obtained as evidence the debt has been paid in full. Revolving debt can be paid off from the proceeds of the Mortgage Loan</t>
  </si>
  <si>
    <t>All revolving, installment, and open 30-day charge debt accounts must be current at the time of closing</t>
  </si>
  <si>
    <t>Mortgage/Rental History</t>
  </si>
  <si>
    <t>0 x 30 x 12
0 x 60 x 24
0 x 90 x 24
Mortgage late payments require a satisfactory signed borrower LOX</t>
  </si>
  <si>
    <t>Borrowers unable to provide a complete twelve-month (12) mortgage/rental history are limited to owner occupied primary residences only and must provide Living Rent Free letter to confirm that they are not able to provide 12 months rental history; For a recent purchase, a combination of payment performance from a prior property or rental payments may be used to complete the twelve-month (12) history. A gap in mortgage/rental payment history of up to six (6) months is allowed by obtaining the most recent eighteen-month (18) history and providing written documentation explaining the reason for the gap</t>
  </si>
  <si>
    <t>0 x 30 x 12</t>
  </si>
  <si>
    <t xml:space="preserve">Acceptable Verification of Rent </t>
  </si>
  <si>
    <t>For each mortgage liability where the borrower is currently an obligor on the note secured by real estate debt, a verification of mortgage directly from the lender must be obtained if the mortgage is not verified on the credit report</t>
  </si>
  <si>
    <t>Standalone VOM is not acceptable unless it is from a financial institution</t>
  </si>
  <si>
    <t>Acceptable Mortgage History</t>
  </si>
  <si>
    <t>No late payments are allowed for any mortgage in the 12 months prior to loan application unless during a COVID-19 forbearance</t>
  </si>
  <si>
    <t>Rent-Free First Time Homebuyer</t>
  </si>
  <si>
    <t>Borrower must provide satisfactory explanation of any delinquent credit including, but not limited to, delinquent mortgage and consumer credit payments</t>
  </si>
  <si>
    <t>Delinquent Credit</t>
  </si>
  <si>
    <t>Borrower must pay off all delinquent credit - including delinquent taxes, judgments, charged-off accounts, tax liens and mechanics’ or materialmen’s liens - that has the potential to affect lien position or diminish the borrower’s equity</t>
  </si>
  <si>
    <t>Past-Due Child Support</t>
  </si>
  <si>
    <t>Borrowers with current or previous past due child support must provide evidence that all past due payments are current unless the borrower is making the payments according to a court approved plan. In this case, the borrower must demonstrate that payments are current according to the plan</t>
  </si>
  <si>
    <t>Collection or Charge-Off</t>
  </si>
  <si>
    <t>Judgments</t>
  </si>
  <si>
    <t>Borrowers must provide evidence of payment in full or evidence the judgment no longer represents a claim against the borrower</t>
  </si>
  <si>
    <t>Bankruptcies</t>
  </si>
  <si>
    <t>A five (5) year waiting period is required on discharged or dismissed bankruptcies. Borrowers with a bankruptcy within the past five (5) years are not eligible</t>
  </si>
  <si>
    <t>7 years seasoning required.  Seasoning requirement to be measured from event completion date to loan application date.</t>
  </si>
  <si>
    <t>Multiple Bankruptcies</t>
  </si>
  <si>
    <t>If the borrower has multiple bankruptcies, an additional 2 year waiting period is required for a total of a 7 year waiting period on discharged or dismissed bankruptcies</t>
  </si>
  <si>
    <t>Not allowed</t>
  </si>
  <si>
    <t>7 years minimum since discharge or dismissal date</t>
  </si>
  <si>
    <t>Bankruptcies; Charged-Off Mortgage Account; DIL, Pre-Foreclosure, Foreclosure, Short-Sale</t>
  </si>
  <si>
    <t>No LOX requirement</t>
  </si>
  <si>
    <t>Charged-Off Mortgage Account</t>
  </si>
  <si>
    <t>A four (4) year waiting period is required on charged off Mortgage Accounts</t>
  </si>
  <si>
    <t>Deed-In-Lieu</t>
  </si>
  <si>
    <t>A five (5) year waiting period is required on deed-in-lieu of foreclosure transactions. These transactions are alternatives to foreclosure. A deed-in-lieu of foreclosure is a transaction in which the deed to the real property is transferred back to the servicer</t>
  </si>
  <si>
    <t>Pre-Foreclosure/Short-Sale</t>
  </si>
  <si>
    <t>A pre-foreclosure sale or short sale is the sale of a property in lieu of foreclosure resulting in a payoff of less than the total amount owed which was pre- approved by the servicer. Pre-foreclosure sales also include mortgage modifications that resulted in any principal reduction/forgiveness.
• A five (5) year waiting period is required on pre-foreclosure sales;</t>
  </si>
  <si>
    <t>Foreclosure</t>
  </si>
  <si>
    <t>A seven (7) year waiting period is required on foreclosures (measured from the completion date of the foreclosure action as reported on the credit report or other foreclosure documents provided by the borrower). Borrowers with a foreclosure within the past seven (7) years are not eligible;</t>
  </si>
  <si>
    <t>A seven (7) year waiting period is required on foreclosures, extenuating circumstances do not apply</t>
  </si>
  <si>
    <t xml:space="preserve">Forbearance </t>
  </si>
  <si>
    <t>The monthly payment on the fully drawn HELOC on the subject property should be used to calculate the DTI and qualify the borrower.</t>
  </si>
  <si>
    <t>HELOC on REO</t>
  </si>
  <si>
    <t>Student Loan</t>
  </si>
  <si>
    <t>Voluntary payments do not need to be taken into consideration and an exception is allowed for alimony. A copy of the divorce decree, separation agreement, court order, or equivalent documentation confirming the amount of the obligation must be obtained and retained in the loan File.</t>
  </si>
  <si>
    <t>Written VOE / VOI</t>
  </si>
  <si>
    <t>VVOE</t>
  </si>
  <si>
    <t>Employed by Family</t>
  </si>
  <si>
    <t>Tax Transcripts/1040 for Salaried Borrowers</t>
  </si>
  <si>
    <t xml:space="preserve">Extended Absence - Documentation Requirement </t>
  </si>
  <si>
    <t xml:space="preserve">Commission - Documentation </t>
  </si>
  <si>
    <t xml:space="preserve">S/E Borrower - Definition </t>
  </si>
  <si>
    <t>P&amp;L</t>
  </si>
  <si>
    <t>P&amp;L Increasing</t>
  </si>
  <si>
    <t>P&amp;L Declining</t>
  </si>
  <si>
    <t xml:space="preserve">S/E Income Analysis </t>
  </si>
  <si>
    <t>Gaps in Employment</t>
  </si>
  <si>
    <t>When using rental income on an apartment where the borrower(s) is a departing residence, a fully executed current lease agreement and copy of security deposit check for the proposed tenant will be required. If the departing residence is tenant occupied at the time of closing, a fully executed current lease agreement and evidence of the most recent two month’s receipt of the rental income will be required.</t>
  </si>
  <si>
    <t>RSU Income</t>
  </si>
  <si>
    <t>Homeownership Subsidies Income</t>
  </si>
  <si>
    <t xml:space="preserve">Capital Gains </t>
  </si>
  <si>
    <t>Documentation Alternatives to Tax Transcripts</t>
  </si>
  <si>
    <t>Cannot be used for reserves</t>
  </si>
  <si>
    <t>Evidence of liquidation of marketable securities and sale of real property is required</t>
  </si>
  <si>
    <t>Large Deposits</t>
  </si>
  <si>
    <t>Ineligible Reserves</t>
  </si>
  <si>
    <t xml:space="preserve">Minimum Borrower Contribution </t>
  </si>
  <si>
    <t>Borrowers must contribute 5% of their own funds on purchase transactions.</t>
  </si>
  <si>
    <t xml:space="preserve">Gift of Equity </t>
  </si>
  <si>
    <t>Gift of equity is not allowed as a source of funds.</t>
  </si>
  <si>
    <t xml:space="preserve">Gift Funds </t>
  </si>
  <si>
    <t xml:space="preserve">Eligible Gift Donor </t>
  </si>
  <si>
    <t>Donor must be an immediate family member, future spouse or domestic partner living with the borrower. Donor cannot be an interested party to the transaction</t>
  </si>
  <si>
    <t>Gift Letter Requirements</t>
  </si>
  <si>
    <t xml:space="preserve">Sourcing of Gift Funds </t>
  </si>
  <si>
    <t>Second Appraisal</t>
  </si>
  <si>
    <t xml:space="preserve">Refinance transactions with loan amounts greater than $2,000,000 require a second appraisal and must be completed by a different appraiser. Appraised value will be the lower of the two appraisals. </t>
  </si>
  <si>
    <t>Secondary Valuation</t>
  </si>
  <si>
    <t>Transferred Appraisal</t>
  </si>
  <si>
    <t xml:space="preserve">Appraisals transferred from another lender to UWM are permitted if a transfer letter is obtained, the AMC AIR Policy, E&amp;O insurance, and QC plan are adequate, and the appraisal is found acceptable without any revisions </t>
  </si>
  <si>
    <t>Ineligible Property Types</t>
  </si>
  <si>
    <t>1004MC</t>
  </si>
  <si>
    <t>Accessory Dwelling Unit</t>
  </si>
  <si>
    <t>If the property contains an accessory unit, the property is eligible under the following conditions:
• The property is a one-unit
• The property contains only one accessory unit, multiple accessory units are not permitted.
• Accessory unit cannot be a manufactured home.
• The appraisal report demonstrates that the improvements are typical for the market through an analysis of at least one comparable property with the same use.
• The borrower qualifies for the mortgage without considering any rental income from the accessory unit.
If it is determined that the property contains an accessory dwelling unit that does not comply with zoning, the property is eligible under the following additional conditions:
• The seller confirms that the existence will not jeopardize any future property insurance claim that might need to be filed for the property.
• The use conforms to the subject neighborhood and to the market.
• The property is appraised based upon its current use.
• The appraisal must report that the improvements represents a use that does not comply with zoning.
• The appraisal report must demonstrate that the improvements are typical for the market through an analysis of at least three comparable properties that have the same non-compliant zoning use.</t>
  </si>
  <si>
    <t>Ineligible Zoning</t>
  </si>
  <si>
    <t>Industrial, commercial and agricultural zoning are not eligible for purchase</t>
  </si>
  <si>
    <t>Agricultural properties</t>
  </si>
  <si>
    <t>For properties with greater than 10 acres, the appraiser must provide at least 3 comparable sales with similar acreage. The highest and best use of the property must be the subject improvements</t>
  </si>
  <si>
    <t>40 acres</t>
  </si>
  <si>
    <t>Private Roads</t>
  </si>
  <si>
    <t>Private roads require a permanent easement for ingress and egress with provisions for road maintenance.</t>
  </si>
  <si>
    <t>Unpermitted Additions</t>
  </si>
  <si>
    <t>Properties with unpermitted additions/alterations to the subject property are not eligible.</t>
  </si>
  <si>
    <t>Appraisal Comp Adjustments</t>
  </si>
  <si>
    <t>• Gross Adjustments: Gross adjustments should not exceed twenty-five percent (25%) of the market value of the comparable
• Net Adjustments: Net adjustments should not exceed fifteen percent (15%) of the market value of the comparable.</t>
  </si>
  <si>
    <t>Rural Properties</t>
  </si>
  <si>
    <t>Solar Panels</t>
  </si>
  <si>
    <t>Leasehold Estates</t>
  </si>
  <si>
    <t>Ineligible</t>
  </si>
  <si>
    <t>12 month Chain of title</t>
  </si>
  <si>
    <t>HPML / Flip Transactions</t>
  </si>
  <si>
    <t>Purple</t>
  </si>
  <si>
    <t>Blue</t>
  </si>
  <si>
    <t>Green</t>
  </si>
  <si>
    <t>Pink</t>
  </si>
  <si>
    <t>Yellow</t>
  </si>
  <si>
    <t>White</t>
  </si>
  <si>
    <t xml:space="preserve">Category: </t>
  </si>
  <si>
    <t>Analyze according to trend</t>
  </si>
  <si>
    <t>The monthly payment may be excluded from the DTI calculation if there are less than 10 monthly payments remaining to pay the debt in full and the payment is not substantial, and the amount of the debt does not affect the consumer’s ability to pay the mortgage during the months immediately after closing. A payment is defined as substantial when it equals or exceeds 5% of the borrower’s qualifying income. These substantial payments must be included in the borrower’s DTI calculation.</t>
  </si>
  <si>
    <t>Paying down of installment debts to less than 10 payments will not result in the exclusion of the installment debt payment from the borrower’s DTI. Only installment debt that is paid off in full can be excluded from the borrower’s DTI. All funds used to pay off installment debt must be sourced. Supporting documentation, such as a credit supplement or direct verification from the creditor, must be obtained as evidence the installment debt has been paid in full prior to closing.</t>
  </si>
  <si>
    <t>Collection accounts or charged-off accounts do not need to be paid off if the balance of an individual account is less than $250.00 or if the total balance of all accounts is $1,000.00 or less. Borrowers who have collection or charged-off accounts with balances in excess of $1,000.00 would be required to pay these balances off prior to closing.</t>
  </si>
  <si>
    <t>Transcripts are required for all borrower whose income is used to qualify; Tax transcripts for personal tax returns are required when tax returns are used to document the borrower's income or any loss and must match the documentation in the loan file
• Borrower obtained tax transcripts are not allowed</t>
  </si>
  <si>
    <t xml:space="preserve">Select One: </t>
  </si>
  <si>
    <t>Select One:</t>
  </si>
  <si>
    <t>Category</t>
  </si>
  <si>
    <t xml:space="preserve">Occupancy: </t>
  </si>
  <si>
    <t xml:space="preserve">Product Score: </t>
  </si>
  <si>
    <t xml:space="preserve">FTHB: </t>
  </si>
  <si>
    <t xml:space="preserve">SE: </t>
  </si>
  <si>
    <t xml:space="preserve">Is the property over 10 acres? </t>
  </si>
  <si>
    <t>Yes</t>
  </si>
  <si>
    <t>No</t>
  </si>
  <si>
    <t>DTI:</t>
  </si>
  <si>
    <t>Rate and Term</t>
  </si>
  <si>
    <t>Purchase</t>
  </si>
  <si>
    <t xml:space="preserve">If FTHB = true, White caps LA at 1.25 Mil. Should also note that with white, they will have a min FICO of 740. But this is the only thing needed for FICO, so not worth the data point </t>
  </si>
  <si>
    <t>90+</t>
  </si>
  <si>
    <t xml:space="preserve">Short Sale </t>
  </si>
  <si>
    <t>Deed In lieu</t>
  </si>
  <si>
    <t>Multiple</t>
  </si>
  <si>
    <t xml:space="preserve">Second Home </t>
  </si>
  <si>
    <t>Investment Property</t>
  </si>
  <si>
    <t>Counter for form for lates</t>
  </si>
  <si>
    <t>Dti</t>
  </si>
  <si>
    <t>Non-Permanent Resident Alien</t>
  </si>
  <si>
    <t>Is there a non-occupant co-borrower?</t>
  </si>
  <si>
    <t>US Citizen</t>
  </si>
  <si>
    <t>Permanent Resident Alien</t>
  </si>
  <si>
    <t xml:space="preserve">Has the borrower had any mortgage or rental lates in the last 24 months? </t>
  </si>
  <si>
    <t>Delayed fin</t>
  </si>
  <si>
    <t>Eligible:</t>
  </si>
  <si>
    <t>Notes for eligibility</t>
  </si>
  <si>
    <t>Purple:</t>
  </si>
  <si>
    <t>Blue:</t>
  </si>
  <si>
    <t>Green:</t>
  </si>
  <si>
    <t>Pink:</t>
  </si>
  <si>
    <t>Yellow:</t>
  </si>
  <si>
    <t>White:</t>
  </si>
  <si>
    <t>Does the borrower have at least 3 tradelines?</t>
  </si>
  <si>
    <t>Is the property in a declining market?</t>
  </si>
  <si>
    <t>Qualifying Questions:</t>
  </si>
  <si>
    <t>Loan Info:</t>
  </si>
  <si>
    <t>Eligible Product Breakdown:</t>
  </si>
  <si>
    <t>Jumbo Product Selection Tool</t>
  </si>
  <si>
    <t>All Product Eligibility:</t>
  </si>
  <si>
    <t>Calc check</t>
  </si>
  <si>
    <t>done?</t>
  </si>
  <si>
    <t xml:space="preserve">Bankruptcy </t>
  </si>
  <si>
    <t>Has the borrower had any derogatory events (BK, etc)?</t>
  </si>
  <si>
    <t>Counter for disclaimer (not using anymore)</t>
  </si>
  <si>
    <t xml:space="preserve">Counter for derogatory </t>
  </si>
  <si>
    <t xml:space="preserve">What kind of derogatory event? </t>
  </si>
  <si>
    <t xml:space="preserve">acreage --&gt; </t>
  </si>
  <si>
    <t>Reasons for ineligibility</t>
  </si>
  <si>
    <t>Unknown</t>
  </si>
  <si>
    <t>Primary Residence</t>
  </si>
  <si>
    <t>Pick second Jumbo product:</t>
  </si>
  <si>
    <t>Default AUS</t>
  </si>
  <si>
    <t>Where the posted guidelines are silent, default to the Fannie Mae Selling Guide. AUS is DU only.</t>
  </si>
  <si>
    <t>The recertification of value cannot be more than 90 days old at the time of closing</t>
  </si>
  <si>
    <t>A Recertification is not acceptable</t>
  </si>
  <si>
    <t>Subject to a reduced maximum LTV/CLTV of 10%</t>
  </si>
  <si>
    <t>750 sq ft (Except in New York City - 400 sq ft)</t>
  </si>
  <si>
    <t>Fannie Mae or Freddie Mac Warrantable project</t>
  </si>
  <si>
    <t>Fannie Mae or Freddie Mac Warrantable project. Projects Pending or Currently in Litigation are Ineligible.</t>
  </si>
  <si>
    <t>Hawaii lava zones 1 and 2; Texas 50(a)6</t>
  </si>
  <si>
    <t>US Citizen, Permanent Residents</t>
  </si>
  <si>
    <t>US Citizen, Permanent Residents, Non-Permanent Residents</t>
  </si>
  <si>
    <t>Limited to owner-occupied / primary residences only</t>
  </si>
  <si>
    <t xml:space="preserve">Rate &amp; Term Refi Seasoning </t>
  </si>
  <si>
    <t>Six months seasoning required if previous transaction was a cash out refinance</t>
  </si>
  <si>
    <t>Eligibility for Payoff of 2nd Lien on a Rate &amp; Term Refi</t>
  </si>
  <si>
    <t>Cash-Out Seasoning</t>
  </si>
  <si>
    <t>Ineligible Cash-Out Transactions</t>
  </si>
  <si>
    <t>For a refinance transaction to be eligible, there must be a continuity of obligation of the outstanding lien that will be paid through the refinance transaction</t>
  </si>
  <si>
    <t>Continuity of obligation is met when the borrower obligated on the new loan was also a borrower on the existing loan being refinanced OR meet an allowable exception (owned by an LLC, inherited, borrower on title)</t>
  </si>
  <si>
    <t>When a borrower has recently been legally awarded the property (divorce, separation, or dissolution of a domestic partnership)</t>
  </si>
  <si>
    <t>Certificate of Occupancy required</t>
  </si>
  <si>
    <t>Cash-Out transactions on properties listed for sale must be off market at least 6 months prior to application date</t>
  </si>
  <si>
    <t xml:space="preserve">Non-Arms Length Transaction </t>
  </si>
  <si>
    <t>Timeshare obligations are considered installment loans and are included as a monthly obligation regardless of the number of payments remaining on the contract</t>
  </si>
  <si>
    <t>Are not allowed</t>
  </si>
  <si>
    <t>Delinquent federal income taxes that are approved to be paid by a monthly installment agreement with the IRS must be paid in full at or prior to closing. If paid at closing, the funds must be allocated on the Final CD.</t>
  </si>
  <si>
    <t>The mortgage/rental history must reflect 0 x 30 in the previous twelve (12) months up until the closing date. No Rolling late payments; Mortgage loan must be current at the time of closing</t>
  </si>
  <si>
    <t>No late payments are allowed for any mortgage in the 12 months prior to loan application</t>
  </si>
  <si>
    <t>No late payments are allowed for any mortgage in the 12 months prior to loan application unless during a COVID-19 forbearance. All mortgages must be current as of the closing date</t>
  </si>
  <si>
    <t>Chapter 7, 11, or 13: 7 years minimum since discharge or dismissal date</t>
  </si>
  <si>
    <t>A seven (7) year waiting period is required for Deed in Lieu</t>
  </si>
  <si>
    <t>A seven (7) year waiting period is required for Short Sale, Pre-Foreclosure</t>
  </si>
  <si>
    <t>The monthly payment on the drawn portion on non-subject property HELOC loans should be used to calculate the DTI and qualify the borrower</t>
  </si>
  <si>
    <t>Business Debt</t>
  </si>
  <si>
    <t>Voluntary Child Support/Alimony (Liability)</t>
  </si>
  <si>
    <t>Businesses that show a significant decline in income over the analysis period are not acceptable</t>
  </si>
  <si>
    <t>A borrower's employment must be verified for the most recent two full years and any gaps in employment that span one (1) or more months must be explained</t>
  </si>
  <si>
    <t>Departing Primary Rent</t>
  </si>
  <si>
    <t xml:space="preserve">Alimony/Child Support (Income) </t>
  </si>
  <si>
    <t>Ineligible to be used as qualifying income</t>
  </si>
  <si>
    <t>Asset Depletion as Income</t>
  </si>
  <si>
    <t>Large deposits that are not in line with business revenue/income stream should be explained via borrower LOX and verified</t>
  </si>
  <si>
    <t xml:space="preserve">Assets Documentation </t>
  </si>
  <si>
    <t>Non-Liquid Accounts for Funds to Close</t>
  </si>
  <si>
    <t>Cryptocurrency</t>
  </si>
  <si>
    <t>Ineligible to be used for income or reserves</t>
  </si>
  <si>
    <t>Ineligible to be used as reserves and/or funds to close unless liquidated</t>
  </si>
  <si>
    <t>Business assets</t>
  </si>
  <si>
    <t>Only Eligible on Primary Transactions</t>
  </si>
  <si>
    <t xml:space="preserve">All transactions with loan amounts greater than $2,000,000 require a second appraisal and must be completed by a different appraiser. Appraised value will be the lower of the two appraisals. </t>
  </si>
  <si>
    <t xml:space="preserve">All transactions with loan amounts greater than $1,500,000 require a second appraisal and must be completed by a different appraiser. Appraised value will be the lower of the two appraisals. </t>
  </si>
  <si>
    <t>Fannie Mae Form 1004MC/Freddie Mac Form 71 - Market Conditions Addendum to the Appraisal Report is required</t>
  </si>
  <si>
    <t>Loans with up to ten (10) acres of land. Properties with agricultural use will not be allowed.</t>
  </si>
  <si>
    <t>No Restrictions</t>
  </si>
  <si>
    <t xml:space="preserve">Rural Properties as identified on the appraisal are ineligible </t>
  </si>
  <si>
    <t>Rural properties with agricultural or income production are ineligible</t>
  </si>
  <si>
    <t xml:space="preserve">Hobby farms and agricultural features ineligible </t>
  </si>
  <si>
    <t xml:space="preserve">Cannot be zoned agricultural </t>
  </si>
  <si>
    <t>Allowable</t>
  </si>
  <si>
    <t>HPML ineligible</t>
  </si>
  <si>
    <t xml:space="preserve">Pick first Jumbo product: </t>
  </si>
  <si>
    <t xml:space="preserve">Buydown Options
• 2-1
• 1-0 Seller-funded buydowns only; borrower-funded buydowns not allowed;
General Requirements
• Fixed-rate mortgages
• Primary or Second Home only
• Purchase transactions
• Seller-funded buydowns only; borrower-funded buydowns not allowed
The borrower must be qualified without consideration of the bought down rate; Reserves must be calculated using the full note rate. Lender Funded Buydowns are not eligible </t>
  </si>
  <si>
    <t>Borrower must have a current two-year history of working in the U.S. without any gaps in U.S. employment greater than 30 days;
Valid Visa types:
• E Series (E-1, E-2, E-3)
• G Series (G-12, G-2, G-3, G-4, G-5)
• H Series (H-1B, H-1C)
• L Series (L-1, L-1A, L-1B, Spouse L-2 with EAD)
• NATO Series (NATO 1-6)
• O Series (O-1)
• TN-1, Canadian NAFTA Visa
• TN-2, Mexican NAFTA Visa</t>
  </si>
  <si>
    <t>If the borrower is a plaintiff to a lawsuit, additional documentation must be obtained to determine no negative impact on the borrower's ability to repay, property, or collateral documents;
If the borrower is a defendant in a lawsuit, the loan is ineligible</t>
  </si>
  <si>
    <t>At least one Borrower on the new refinance transaction held title to and resided in the mortgaged property as a primary residence for the most recent 12-month period and the mortgage file contains documentation evidencing that the borrower, either:
• Has been making timely mortgage payment, including the payments for any secondary financing, for the most recent 12-month period; or
• Is a related person to a borrower on the mortgage being refinanced</t>
  </si>
  <si>
    <t>At least one Borrower on the new refinance transaction held title to and resided in the mortgaged property as a primary residence for the most recent 12-month period and the mortgage file contains documentation evidencing that the borrower, either:
• Has been making timely mortgage payment, including the payments for any secondary financing, for the most recent 12-month period; or
• Is a related person to a borrower on the mortgage being refinanced
• The loan being refinanced and the title to the property are in the name of a natural person prior to transfer</t>
  </si>
  <si>
    <t>• Multiple contracts are not allowed to be combined when determining purchase price.
• Assignment of purchase contracts are ineligible unless the transferor is a family member and there is no change to purchase price or credits.</t>
  </si>
  <si>
    <t>• Subordinate liens must be recorded and clearly subordinate to the first mortgage lien.
• Only institutional financing is permitted unless the subordinate financing meets the Employer Subordinate Financing requirements.</t>
  </si>
  <si>
    <t>The subordinate lien financing must:
• Have scheduled payments sufficient to meet the interest due, i.e. no negative amortization;
• Not have a balloon payment due less than five years after the note date of the new Mortgage Loan; and
• Not have any prepayment penalties.</t>
  </si>
  <si>
    <t>• The principal balance of a HELOC used in the LTV/CLTV calculation will be based on the fully drawn line amount.
• Subordinate liens must not have negative amortization features, prepayment penalties or balloon payments due within 5 years of the closing date of the subject loan.</t>
  </si>
  <si>
    <t>Employer Subordinate Financing:
•  30 year fixed rate only;
•  Employer must have an Employee Financing Assistance Program in place;
•  Employer may require full repayment of the debt if the borrower’s employment ceases before the maturity date.
•  Financing may be structured in any of the following ways:
- Fully amortizing level monthly payments.
-  Deferred payments for some period before changing to fully amortizing payments.
-  Deferred payments over the entire term.
-  Forgiveness of debt over time.
-  Balloon payment of no less than 5 years, or the borrower must have sufficient liquidity to pay off the subordinate lien.</t>
  </si>
  <si>
    <t>Must have at least two scores
• Two Credit Scores: If two credit scores are obtained, choose the lower credit score;
• Three Credit Scores: If three credit scores are obtained, choose the middle score</t>
  </si>
  <si>
    <t>All borrowers whose income is used to qualify the loan must have an established credit history. An established credit history is defined as a minimum of three (3) traditional credit references or tradelines. One (1) should be currently open and active and have been open for at least twenty-four (24) months based upon the credit report pull date. The other two (2) traditional credit references or tradelines should have been open for at least twelve (12) months but can be either currently open or closed.
A mortgage that has been refinanced in the past 24 months will count as one eligible trade line provided the combination of the loan that was paid off and the current Mortgage Loan documents a 24-month payment history.</t>
  </si>
  <si>
    <t>0 x 30 x 12
Mortgage loan must be current at the time of closing</t>
  </si>
  <si>
    <t>Lack of housing payment history must be satisfactorily explained. Acceptable explanations include:
• Borrower previously living with family member rent free
• Current primary residence owned free and clear</t>
  </si>
  <si>
    <t>One of the following must be used to verify and document rental history:
• If the landlord is a management company, the management company must be listed in the local telephone directory and the file must contain a copy of the listing. If the listing is not available, twelve months of cancelled checks must be provided;
• If the landlord is a non-related individual, a direct verification is allowed provided proof of landlord ownership is established;
• All direct verifications must include the rental amount, payment history and length of payment history;
• If the landlord is related to the borrower, twelve months of cancelled checks must be provided;
• If cancelled checks are used, copies (front &amp; back) of twelve (12) months consecutive (one payment per month) rental payment cancelled checks are required;
• No rolling late payments allowed.</t>
  </si>
  <si>
    <t>Acceptable VORs include:
• Canceled checks, front and back, reflecting rent payments OR
• Bank statements reflecting rent payments and a signed lease agreement;
• Landlord completed VOR form is acceptable only if the landlord is a professional management company</t>
  </si>
  <si>
    <t>One of the following documentations must be documented to verify mortgage history:
• A twelve-month (12) rating stated on the residential mortgage credit report (“RMCR”) or merged in-file report;
• Verification of mortgage completed by the holder of the mortgage;
• Copies (front &amp; back) of twelve (12) months consecutive (one (1) payment per month) mortgage payment cancelled checks;
• 12 months Bank statements or direct payment records showing one (1) payment per month;</t>
  </si>
  <si>
    <t>Mortgage Loans currently in forbearance are ineligible;
Mortgage Loans that have exited forbearance must have 24 months of consecutive payments, as documented by evidencing payments during such time period. Non-payment during the 24-month period will be deemed ineligible.</t>
  </si>
  <si>
    <t>• Paystubs covering most recent 30 days with YTD earnings
• W2s or 1040s for the most recent 2-year period
• VVOE
• 2 years tax transcripts
• Borrower's potential ownership in the business must be addressed by obtaining a letter from a qualified disinterested third-party</t>
  </si>
  <si>
    <t>A Borrower that is returning to work after a 12 month period is considered to have an extended absence.
A borrower’s income may be considered effective and stable when recently returning to work after an extended absence if he/she:
• Is employed in the current job for six months or longer; and
• Can document a two year work history prior to an extended absence from employment using:
- Traditional employment verifications; and/or
- Copies of IRS Form W-2s or pay stubs.
Income from situations not meeting the criteria listed above may not be used in qualifying</t>
  </si>
  <si>
    <t>• YTD P&amp;L statement, updated through the most recent quarter, is required when the self-employed income is the primary source of income used to qualify the loan;
• After 3/31, if tax returns for the prior year have not been filed, then a P&amp;L and balance sheet for the prior year are also required in addition to the current quarter P&amp;L</t>
  </si>
  <si>
    <t>The borrower must provide acceptable evidence that payments have been received during the last 12 months, such as:
• Cancelled checks;
• Deposit slips;
• Tax returns; or
• Court records
Periods less than 12 months may be acceptable, provided the Seller can adequately document the payer's ability and willingness to make timely payments. A minimum of 6 months of payment is required.</t>
  </si>
  <si>
    <t>• Marketable Securities: (70%);
• Vested Retirement Savings Accounts: (60%);
• Business Asset: Only eligible if the business is 100% owned by borrower;</t>
  </si>
  <si>
    <t>• 2-4 Unit properties
• Co-ops
• Manufactured homes</t>
  </si>
  <si>
    <t>Agricultural Zoning unless:
• the land is not suited for agriculture / farming
• the zoning specifically permits residential development
• the zoning allows for one home on one acre or less with sewer services or the minimum lot size needed for on-lot sewage disposal</t>
  </si>
  <si>
    <t>Maximum Acreage
• 50 acres unless restricted by state law
• Acreage greater than 20 acres and less than or equal to 50 acres require a max LTV / CLTV reduction of 10%
• Zoning must allow for residential use</t>
  </si>
  <si>
    <t>Jumbo Comparison Guide</t>
  </si>
  <si>
    <t>https://thesource.uwm.com/Search-Guidelines/UWM-Documents/Underwriting/Jumbo-30-Year-Fixed---Purple-Guidelines</t>
  </si>
  <si>
    <t>https://thesource.uwm.com/Search-Guidelines/UWM-Documents/Underwriting/Jumbo-30-Year-Fixed---Blue-Guidelines</t>
  </si>
  <si>
    <t>https://thesource.uwm.com/Search-Guidelines/UWM-Documents/Underwriting/Jumbo-30-Year-Fixed---Green-Guidelines</t>
  </si>
  <si>
    <t>https://thesource.uwm.com/Search-Guidelines/UWM-Documents/Underwriting/Jumbo-30-Year-Fixed---Pink-Guidelines</t>
  </si>
  <si>
    <t>https://thesource.uwm.com/Search-Guidelines/UWM-Documents/Underwriting/Jumbo-30-Year-Fixed---Yellow-Guidelines</t>
  </si>
  <si>
    <t>https://thesource.uwm.com/Search-Guidelines/UWM-Documents/Underwriting/Jumbo-15-Year-Fixed---White-Guidelines</t>
  </si>
  <si>
    <t>Link to Full Guidelines</t>
  </si>
  <si>
    <t>Max DTI is 45% for FICO 720+
Max DTI is 40% for FICO &lt;720</t>
  </si>
  <si>
    <t>Minimum Reserves (Subject PITIA)</t>
  </si>
  <si>
    <t>9 months</t>
  </si>
  <si>
    <t>6 months</t>
  </si>
  <si>
    <t>Determined by AUS</t>
  </si>
  <si>
    <t>Minimum Square Footage</t>
  </si>
  <si>
    <t xml:space="preserve">Condo Eligibility </t>
  </si>
  <si>
    <t xml:space="preserve">Delayed Financing </t>
  </si>
  <si>
    <t>When the borrower on a new refi has been added to title through a transfer from a trust, LLC, or partnership, the following requirements apply
• Borrower must have been a beneficiary/creator (trust) or 25% or more owner of the LLC or partnership prior to the transfer
• The transferring entity and/or borrower has had a consecutive ownership (on title) for at least the most recent six (6) months prior to the disbursement of the new loan
NOTE: transfer of ownership from a Corporation to an individual does NOT meet the continuity of obligation requirement</t>
  </si>
  <si>
    <t>When the property seller is a corporation, partnership, or any other business entity, it must be ensured that the borrower is not an owner of the business entity selling the property</t>
  </si>
  <si>
    <t>Credit Score Requirements</t>
  </si>
  <si>
    <t>• The credit report must reflect at least two reported scores for borrowers whose income is used to qualify. The lowest middle score of all borrowers is used to determine the representative score for eligibility purposes;
• Self-reported or other non-traditional credit ineligible;
• Rapid re-scores are not allowed unless the re-score is the result of an error on the credit report. Errors must be confirmed by the creditor;
• Bureaus identified as "frozen" are required to be unfrozen and a current credit report with all bureaus unfrozen is required</t>
  </si>
  <si>
    <t xml:space="preserve">Trade Line Requirements </t>
  </si>
  <si>
    <t>• Requirements apply to subject and non-subject properties, currently or previously owned by the borrower
• Allowable six (6) months after the end of the forbearance period
• All monthly payments during the forbearance period must have been made by the borrower
• Forbearance terms to skip any payments not allowed
• Payoff statements and mortgage statements must not reflect any deferred principal balance or any indication of current forbearance</t>
  </si>
  <si>
    <t xml:space="preserve">W-2 Requirements </t>
  </si>
  <si>
    <t>W2 transcripts are required if 1040 transcripts are not provided and the borrower does not have any other income source or loss;
The following W2 type earnings require tax transcripts:
• Borrowers employed by a family member
• Borrower with 25% or greater ownership in company
Alternatives to W2 transcripts:
•  W2 transcripts for previous one or two years (see example in guide)
A processed 4506-C that confirms "NROR" with the IRS **this option is only available through June 30th of each year</t>
  </si>
  <si>
    <t>S/E Tax Return Requirement</t>
  </si>
  <si>
    <t xml:space="preserve">Verification of Business for S/E </t>
  </si>
  <si>
    <t>Business Assets</t>
  </si>
  <si>
    <t>Business Asset - Large Deposit</t>
  </si>
  <si>
    <t>Acreage</t>
  </si>
  <si>
    <t xml:space="preserve">Is the borrower living rent-free? </t>
  </si>
  <si>
    <t>Cash-Out</t>
  </si>
  <si>
    <t xml:space="preserve">Has one tradeline been open and active for at least 24 months? And the other two have been open with activity in the past 12 months? </t>
  </si>
  <si>
    <t>Number of financed properties borrower owns:</t>
  </si>
  <si>
    <t>Transaction type:</t>
  </si>
  <si>
    <t xml:space="preserve">Borrower citizenship status: </t>
  </si>
  <si>
    <t>Number of months of reserves borrower has (subject property PITIA):</t>
  </si>
  <si>
    <t>Is the property zoned as "agricultural"?</t>
  </si>
  <si>
    <t>Are business assets being used for reserves?</t>
  </si>
  <si>
    <t>If purchase money, requires one (1) year seasoning;
For HELOCs that were not used to purchase the subject property, the lien must be seasoned for a minimum of one (1) year with no draws in the past twelve (12) months greater than or equal to $2,000.</t>
  </si>
  <si>
    <t>Transactions subject to a temporary interest rate buy down;
Texas 50(a)(6) and Texas Conversion loans are ineligible</t>
  </si>
  <si>
    <t>Properties listed for sale within 6 months of application date;
Texas 50(a)(6) and Texas Conversion loans are ineligible</t>
  </si>
  <si>
    <t>Examples of In-Law or Accessory Unit properties include a house with a unit above a detached garage or a house with a guest apartment or basement unit.
• A single-family property that includes an additional unit is acceptable provided it conforms to the subject neighborhood and to the market.
• Comparable must include second units.
• Second unit must be incidental to the overall value and to appearance of the property.
• No rental income may be used to qualify the borrower.</t>
  </si>
  <si>
    <t xml:space="preserve">Balloon Liability </t>
  </si>
  <si>
    <t>Paying Down Installment Debt</t>
  </si>
  <si>
    <t>Revolving Debt with No Payment on Credit</t>
  </si>
  <si>
    <t>Monthly Debts Must be Current</t>
  </si>
  <si>
    <t>30-day/Open Account</t>
  </si>
  <si>
    <t>Delinquent IRS Taxes</t>
  </si>
  <si>
    <t>HELOC on Subject Property</t>
  </si>
  <si>
    <t>S/E History - Minimum of 12 Months</t>
  </si>
  <si>
    <t>Rental Income Present - But Not Being Used</t>
  </si>
  <si>
    <t>Eligible Funds for Reserves</t>
  </si>
  <si>
    <t xml:space="preserve">Subordinate Lien Requirements  </t>
  </si>
  <si>
    <t>PROPRIETARY AND CONFIDENTIAL TO UWM - FOR USE BY UWM APPROVED PARTIES ONLY. NMLS #3038</t>
  </si>
  <si>
    <t>OWNER UND</t>
  </si>
  <si>
    <t>Rate &amp; Term - Max Cash Back</t>
  </si>
  <si>
    <t>Continuity of Obligation - Does Not Apply</t>
  </si>
  <si>
    <t>Continuity of Obligation - When Owned by LLC</t>
  </si>
  <si>
    <t>Continuity of Obligation - Individual on Title</t>
  </si>
  <si>
    <t>Excluding Debt for Less Than 10 Months</t>
  </si>
  <si>
    <t>Payoff Off Revolving Debt</t>
  </si>
  <si>
    <t>No 12 Month Housing History</t>
  </si>
  <si>
    <t>Attestation of Derogatory Events</t>
  </si>
  <si>
    <t>Tax Transcripts</t>
  </si>
  <si>
    <t>Re-Certification of Value</t>
  </si>
  <si>
    <t>Where the posted guidelines are silent, Fannie Mae or Freddie Mac Underwriting Guidelines should be followed for the applicable AUS provided</t>
  </si>
  <si>
    <t>Refer to most recent Fannie Mae Selling Guide</t>
  </si>
  <si>
    <t>Refer to most recent Fannie Mae or Freddie Mac Selling Guide, based on loan file AUS</t>
  </si>
  <si>
    <t>Borrowers who are a defendant in a lawsuit
Refer to posted guidelines for full list</t>
  </si>
  <si>
    <t>Non-Permanent Resident
Applicants involved in federally prohibited activities
Refer to posted guidelines for full list</t>
  </si>
  <si>
    <t>Borrowers who are party to a lawsuit
Refer to posted guidelines for full list</t>
  </si>
  <si>
    <t>Refer to posted guidelines for full list</t>
  </si>
  <si>
    <t>An unexpired copy of the borrowers Visa or other acceptable form (EAD card I-94) as evidence of Non-Permanent Residency status</t>
  </si>
  <si>
    <t xml:space="preserve">Refer to most recent Fannie Mae or Freddie Mac Selling Guide, based on loan file AUS; Seasoning exception not applicable </t>
  </si>
  <si>
    <t>Refer to DU findings</t>
  </si>
  <si>
    <t>Refer to AUS findings</t>
  </si>
  <si>
    <t>Properties listed for sale must be off market at least 6 months prior to application date. Refer to Fannie Mae Selling Guide for additional requirements</t>
  </si>
  <si>
    <t>Borrower(s) must have owned the property for at least six months. Refer to most recent Fannie Mae or Freddie Mac Selling Guides for additional requirements, based on loan file AUS</t>
  </si>
  <si>
    <t>Texas 50(a)(6) loans are ineligible</t>
  </si>
  <si>
    <t>In addition to Refer to most recent Fannie Mae or Freddie Mac Selling Guide, based on loan file AUS selling guide requirements, deed-restricted and resale-restricted properties are ineligible</t>
  </si>
  <si>
    <t>• Three Credit Scores: Use the middle of the three scores. If two of these credit scores are identical, the middle credit score;
• Two Credit Scores: If two credit scores are obtained, use the lower credit score;
• One Credit Score: If only one credit score is obtained, use that credit score.</t>
  </si>
  <si>
    <t>90 Days</t>
  </si>
  <si>
    <t xml:space="preserve">Refer to most recent Fannie Mae or Freddie Mac Selling Guide, based on loan file AUS - no extenuating circumstances </t>
  </si>
  <si>
    <t>Refer to most recent Fannie Mae or Freddie Mac Selling Guide, based on loan file AUS - Loan must be removed from forbearance prior to application date</t>
  </si>
  <si>
    <t>A WVOE / VOI cannot be used as standalone documentation and a paystub dated within 30 days of application must be obtained</t>
  </si>
  <si>
    <t>A WVOE cannot be used as standalone documentation; A VOI ordered by UWM can be used as standalone documentation</t>
  </si>
  <si>
    <t>Determined by UWM Risk Algorithm</t>
  </si>
  <si>
    <t>Refer to posted product guidelines</t>
  </si>
  <si>
    <t>Refer to most recent Freddie Mac Selling Guide - AUS must be LPA</t>
  </si>
  <si>
    <t>Refer to most recent Freddie Mac Selling Guide - AUS can be DU or LPA</t>
  </si>
  <si>
    <t xml:space="preserve">Refer to most recent Fannie Mae or Freddie Mac Selling Guide, based on loan file AUS </t>
  </si>
  <si>
    <t>Refer to most recent Fannie Mae or Freddie Mac Selling Guide, based on loan file AUS, excluding business assets</t>
  </si>
  <si>
    <t>An unexpired copy of the borrowers Visa or other acceptable form (EAD card I-94) as evidence of Non-Permanent Residency status; there must be a documented employment and income history including but not limited to two years of US tax returns, a history of Visa renewals, and no reason to believe employment will cease</t>
  </si>
  <si>
    <t>Maximum Loan Amount $1,250,000
Min FICO 740</t>
  </si>
  <si>
    <t>Between $300,000 - $500,000 (see Matrix)</t>
  </si>
  <si>
    <t>• Rate/Term Refinance Transaction only;
• The land contract / contract for deed must be executed more than 12 months preceding the mortgage application date;
• The Mortgage Loan file must include third-party documentation evidencing payments were made in accordance with the terms of the land contract or contract for deed for the most recent 12 month period;
• A copy of the Land Contract/Contract for Deed is required and payoff(s) to be obtained.</t>
  </si>
  <si>
    <t>Properties currently listed for sale at the time of the application are not eligible for purchase
If listed in the past 6 months:
Only Rate &amp; Term refinances are acceptable and the following requirements need to be met:
• Documentation provided to show cancellation of listing;
• Acceptable letter of explanation from the borrower detailing the rationale for cancelling the listing
Cash Our Refinances listed for sale within six (6) months are not eligible</t>
  </si>
  <si>
    <t xml:space="preserve">Refer to most recent Fannie Mae Selling Guide - With the exception to First Time Homebuyer that is Rent Free. See guidelines for additional info. </t>
  </si>
  <si>
    <t>Rental history must be verified by a third party or credit bureau. History must be 0 x 30 x 12</t>
  </si>
  <si>
    <t>Limited to owner-occupied primary residences only. A living rent free-letter is required.</t>
  </si>
  <si>
    <t>A living rent-free letter is required.</t>
  </si>
  <si>
    <t>Use of extenuating circumstances to reduce waiting period not allowed; Multiple credit events within the past 10 years are ineligible.
Follow AUS for waiting periods, but when the credit event is seasoned less than 7 years will require the following:
• 0 x 30 x 24 rental housing history in the past 24 months
• No mortgage late payments since credit event</t>
  </si>
  <si>
    <t>Require a satisfactory signed letter of explanation</t>
  </si>
  <si>
    <t>Require a satisfactory signed letter of explanation;
Multiple credit events are not allowed</t>
  </si>
  <si>
    <t>VVOE should cover at least the most recent 2 years of borrower's employment/income history
•  If the borrower has had multiple employers over the past 2 years, a VVOE/WVOE with all employers is required
If a third-party vendor is used for the VVOE, the verification must evidence that the information in the vendor's database was no more than 35 days old as of the note date</t>
  </si>
  <si>
    <t>• Copies of signed tax returns for the last two years
• The most recent pay stub dated no earlier than 30 days prior to the initial loan application date including year-to-date earnings and includes sufficient information to appropriately calculate income and IRS Form W-2s for past 2 years.
Unreimbursed business expenses must be subtracted from gross income.</t>
  </si>
  <si>
    <t>• Positive Net Income: The Tax Returns reflect a positive self-employed net income, Underwriter will not use the self-employed income to qualify the borrower and the borrower will not be considered self-employed; or
• Negative Net Income: The Tax Returns reflect a negative self-employed net income, Underwriter will use the self-employed income and as long as the borrower still qualifies, the borrower will not be considered self-employed.</t>
  </si>
  <si>
    <t>A Verbal VOE of current employment must be documented in writing either no more than ten (10) business days prior to the note date, or no more than 35 days after the note date;
Verification of the existence of the borrower’s business must be in writing either no more than ten (10) business days prior to the Note Date. Methods of verifying the business include verification from a third party such as a CPA, regulatory agency or by an applicable licensing bureau. Internet listings are not an acceptable source of verification</t>
  </si>
  <si>
    <t>•  Verification of the existence of a borrower's self-employment must be verified through a third-party source and no more than 30 calendar days prior to the Note date. If the verification is completed more than 30 calendar days before the Note date, a post-closing verification is acceptable if it supports the information used to qualify the borrower
Third Party Verification Requirements:
•  Third party verification can be from a CPA, regulatory agency, or applicable licensing bureau. If a CPA letter is utilized, it must indicate that the borrower has been self-employed for a minimum of 2 years
•  Listing and address of the borrower's business
•  Name and title of person completing the verification
• If the foregoing option is not possible then:
- Evidence of current work (executed contracts or signed invoices)
- Evidence of current business receipts within 10 days of Note date
- Seller certification that the borrower's business is open and active (confirmed through a phone call or other means)
- Business website demonstrating activity supporting current business operations (timely appointments for estimates or service can be scheduled)</t>
  </si>
  <si>
    <t xml:space="preserve">• Funds that have not been vested;
• Funds that cannot be withdrawn under circumstances other than the account owner’s retirement, employment termination, or death;
• Stock held in an unlisted corporation;
• Non-vested stock options and non-vested restricted stock;
• Personal unsecured loans;
• Interested party contributions;
• Seller contributions;
• Cash proceeds from a cash-out refinance transaction on the subject property
• Gift Funds </t>
  </si>
  <si>
    <t>• Properties with square footage less than seven hundred and fifty (750) square feet, except in New York City where the square footage cannot be less than four hundred (400) square feet.
• Manufactured Homes
• Modular Home
• Leaseback
• Log homes
• Unimproved land
• Mobile homes
• Kiddy condos
• Unique properties
• Condo hotel
• Condominium conversion
• Tax-sheltered syndications
• Timeshare units
• Non-warrantable condominiums
• Rural property
• Mixed-use property
• Multi-Family dwellings containing more than four (4) units
• Working farms
• Ranches and orchards
• Industrial zoned properties
• Commercial zoned properties
• Agricultural zoned properties
• Rehab properties owned less than twelve (12) months
• Properties greater than 10 acres
• 2-4 unit second homes</t>
  </si>
  <si>
    <t>•  Leasehold properties
•  Land trusts
•  Hobby farms and working farms
•  Non-warrantable condos
•  Manufactured homes
•  Deed-restricted and resale-restricted properties
•  Log Home
•  Mixed Use properties
• 2-4 unit second homes</t>
  </si>
  <si>
    <t>• Agricultural properties
• Working farms
• Manufactured homes
• Resale restrictions
• 2-4 unit second homes</t>
  </si>
  <si>
    <t>Seller is an LLC</t>
  </si>
  <si>
    <t>Employer Provided Subordinate Lien</t>
  </si>
  <si>
    <t xml:space="preserve">Maximum Number of Financed Properties </t>
  </si>
  <si>
    <t>When the most recent year's tax returns or W2s have been filed, and where the IRS has not processed the forms, the following alternative documentation is required:
• Tax transcripts for year(s) prior to returns
• Proof of e-filing with the IRS AND
• Proof of payment in full of tax liability of receipt of refund, as applicable, AND
• A processed 4506-C response that confirms "NROR" with the IRS
o A processed 4506-C Code 10 response is acceptable in lieu of the NROR response. Additional conditions may apply.</t>
  </si>
  <si>
    <t>• When the Mortgage Loans are &lt;= $2,000,000, a Collateral Desktop Analysis is required to support the appraisal. The variance between the two valuations must be within a ten percent (10%) tolerance and the lower of the two values must be used.
• When the Mortgage Loans are &gt; $2,000,000, a second appraisal is required. The variance between the two valuations must be within an eight percent (8%) tolerance and the lower of the two values must be used.
• In either scenario, if the second valuation exceeds the tolerance threshold, a third valuation product is required (field review or CDA)</t>
  </si>
  <si>
    <t>• An acceptable CU score (as determined by UWM)
• A Collateral Desktop Analysis (CDA) from Clear Capital
• A field review
• A second full appraisal</t>
  </si>
  <si>
    <t>• An acceptable CU/LCA score (completed by UWM)
• A UWM-obtained AVM
• A Collateral Desktop Analysis (CDA) from Clear Capital
• An exterior-only appraisal
• A field review 
• A second full appraisal</t>
  </si>
  <si>
    <t>• An acceptable CU/LCA score (as determined by UWM)
• A UWM-obtained AVM 
• A Collateral Desktop Analysis (CDA) from Clear Capital 
• An exterior-only appraisal  
• A field review 
• A second full appraisal</t>
  </si>
  <si>
    <t>A Collateral Desktop Analysis (CDA) from Clear Capital is required. A field review may be required if the CDA exceeds the allowable tolerance. Refer to product guidelines</t>
  </si>
  <si>
    <t>FICO:</t>
  </si>
  <si>
    <t>&lt;--Loan AMT</t>
  </si>
  <si>
    <t>LTV:</t>
  </si>
  <si>
    <t>How many units is the subject property?</t>
  </si>
  <si>
    <t>One</t>
  </si>
  <si>
    <t>Two</t>
  </si>
  <si>
    <t>Three or more</t>
  </si>
  <si>
    <t>• Unexpired Employment Authorization Document (EAD) issued by the United States Citizenship and Immigration Services (USCIS).
o If the authorization for employment will expire within one year and a prior history of EAD renewals exist, continuation may be assumed. If there are no prior renewals, the likelihood of renewal must be determined, based on information from USCIS.
• One of the following Visa Classifications: A-2, A-3, E-1, E-2, E-3, G-1 through G-5, H-1, L-1, NATO, O-1, R-1, TN (NAFTA).
o If the authorization for temporary residency status will expire within one year and a prior history of residency status renewals exist, continuation may be assumed. If there are no prior renewals, the likelihood of renewal must be determined, based on information from USCIS.</t>
  </si>
  <si>
    <t>Loan Amount ≤$1,500,000: $350,000
Loan Amount &gt;$1,500,000: $500,000</t>
  </si>
  <si>
    <t>• The owner must have clear title;
• Cannot be in probate;
• Must evidence ownership percentage for heir in file</t>
  </si>
  <si>
    <t>Income from self-employment is considered stable, and effective, if the borrower has been self-employed for two or more years. If the length of self-employment is between one and two years, the borrower must have at least two years of documented previous successful employment in the line of work in which the borrower is self-employed, or in a related occupation. The income must be the same or increasing.</t>
  </si>
  <si>
    <t>If rental income is NOT being used to qualify the borrower and:
• The Tax Forms reflect a positive net income for properties not being used, no additional documentation for the related properties is needed; or
• The Tax Forms reflect a negative net income for the properties not being used, all documentation with respect to the related property is required and the net loss must be used to qualify the borrower</t>
  </si>
  <si>
    <t>• Business Assets cannot be used unless the borrower is one hundred percent (100%) owner of the business.
• Business Assets used must be accompanied by a CPA letter confirming that the withdrawal of the funds from the business will not harm the financial strength of the business
• Most recent signed and dated two years personal, partnership and/or corporate tax returns must be obtained, and the Seller must perform a cash flow analysis to determine that the withdrawal of funds will not have a detrimental effect on the business</t>
  </si>
  <si>
    <t>For all loans ≤$2,000,000, reserves determined by AUS
For Purchases and R&amp;T Refis &gt;$2,000,000, min 12 months in addition to AUS
For Cash-Out Refis &gt;$2,000,000, min 18 months in addition to AUS
For Purchases and R&amp;T Refis &gt;$2,500,000, min 18 months in addition to AUS</t>
  </si>
  <si>
    <t>For loans ≤$2,000,000, reserves determined by AUS
For loans &gt;$2,000,000, min 6 months in addition to AUS
For loans &gt;$3,000,000, min 12 months in addition to AUS</t>
  </si>
  <si>
    <t>In addition to the reserve requirements specified in the Product Matrix for the subject property, the following also applies:
• 2 months PITIA is required on each additional residential property with a lien</t>
  </si>
  <si>
    <t>Gift Funds do not need to be sourced or seasoned but proof of donor’s ability to give and transfer of funds or evidence of receipt must be documented and could include:
• Copy of the donor’s withdrawal slip and the borrower’s deposit slip in the amount of the gift;
• Copy of the donor’s canceled check and the borrower’s deposit slip in the amount of the gift;
• Copy of a cashier’s, certified or official check in the amount of the gift that clearly identifies the donor’s name.
A certified, cashiers or official check in the amount of the gift with the donor’s name identified on the check must be provided.</t>
  </si>
  <si>
    <t xml:space="preserve">Financed Property Reserves </t>
  </si>
  <si>
    <t>Max DTI is 45% if FICO 700+
Max DTI is 40% is FICO &lt;700
Max DTI is 40% on Cash-Out Refis on all Second Home Transactions</t>
  </si>
  <si>
    <t>• Delayed financing transactions are underwritten and priced as rate and term refinances and are not subject to cash out refinancing program limitations. Note: DU will identify the transaction as a cash-out refinance.
• Incidental cash back limits apply for cash in excess of the original purchase price or appraised value (whichever is less).
• Property must have been purchased using the borrower's own funds
•  If funds to purchase property came from the borrower's self-employed business, see Business Funds requirements
• Settlement Statement/Closing Disclosure from the original purchase and documentation must be obtained to show the down payment and closing costs used for the purchase were from the borrower's own funds (no borrowed, gift, or shared funds), and confirm no mortgage financing was used to acquire the property</t>
  </si>
  <si>
    <t>IRS tax repayment plans that include balances from multiple tax years are ineligible. Installment plans covering one year of taxes due are permissible with the monthly payment included in the DTI.</t>
  </si>
  <si>
    <t>Verification of Rent (VOR)</t>
  </si>
  <si>
    <t>Verification of Mortgage (VOM)</t>
  </si>
  <si>
    <t>Secondary Self-Employment Income and Schedule E Losses</t>
  </si>
  <si>
    <t>Secondary Self-Employment Income:
• Business income reported on a borrower's individual income tax returns is not required to be used in qualification if the Seller is only using income that is not derived from self-employment is a secondary and separate source of income
• Secondary and separate sources of self-employment losses reporting on tax transcripts greater than 5% of borrower's total qualifying income must be deducted from qualifying income. Additional self-employment documentation is not required
If the borrower has &lt;25% ownership in the business reporting a loss, the loss cannot be excluded. Losses &gt;5% of the total qualifying income must be considered.</t>
  </si>
  <si>
    <t>K-1 Income</t>
  </si>
  <si>
    <t>In addition to the requirements laid out in the Fannie Mae Selling Guide, the following applies:
• A borrower who has less than a two year history of earning K-1 income may have their income considered as stable provided a minimum of two years with the same employer is verified. The borrower’s ownership percentage must be less than 25%. 
• Documentation requirements:
o 2 years’ personal tax returns signed on or before the closing date. In lieu of a signature, personal tax transcripts for the corresponding year may be provided.
o 2 years’ tax transcripts. See specific requirements under Tax and W2 Transcripts section. The transcripts must validate the income documentation used to underwrite the loan. The transcripts and supporting income documentation must be consistent.
o Copy of partnership agreement. Guaranteed payments due under the partnership agreement must be equal to or greater than previously reported W-2 income.
- If the agreement does not specify guaranteed payments to the partner, borrower must have received partnership payments via K-1 for a minimum of one year, and the income must be documented with the prior year’s K-1.
• Income must be calculated based on the most recent two years’ W-2 income, or most recent year K-1 and prior year's W-2</t>
  </si>
  <si>
    <t>Allowed for funds to close and reserves with the following restrictions:
• If income is being used from the entity the funds are being withdrawn from, personal and business tax returns, a year-to-date P&amp;L, and balance sheet are required.
• Business health analysis to be completed by underwriter to confirm no negative impact to ongoing operation of the business.
• Business bank statements must not reflect any NSF (non-sufficient funds) or overdrafts.
• If borrower(s) ownership in the business is less than 100%, the following requirements must be met:
o Borrower(s) must have majority ownership of 51% or greater.
o Non-borrowing owner(s) of the business must provide an access letter for use of the business funds.
o Borrower(s) percentage of ownership must be applied to the balance of business funds for use by borrower(s).
• If business funds, or a combination of personal and business funds, are used to meet reserves requirement, at least 50% of the verified reserves must be from a personal account. Funds must be liquid and from non-retirement accounts.</t>
  </si>
  <si>
    <t>• Gift Funds
• Cash-Out Proceeds
• Proceeds from a HELOC, bridge loan, or cash-out from a non-subject property
• Deferred compensation
• Funds that have not vested</t>
  </si>
  <si>
    <t>• Unique properties
• Working farms
• Income producing properties
• Co-ops
• Condotels
• Manufactured homes
• Mixed-use properties
• Leasehold properties
• Commercial properties
• Condos with HOAs in litigation
• Properties on Indian reservations
• 2-4 unit second homes
• Non-age-related resale restricted properties</t>
  </si>
  <si>
    <t>• Non Warrantable Condos
• Leasehold
• Commercial Property
• Projects Pending or Currently in Litigation
• Timeshares
• Factory built
• Rural property with agricultural or income production
• Unimproved Land
• Unit complexes with 5 or more units
• Tourist houses
• Private Clubs
• Sanitariums
• Fraternity / Sorority Houses
• Properties sold at auction
• Hotel / Motel conversions
• Geodesic Domes
• Condotels
• Properties with Federally Prohibited Activities
• Boarding Houses
• Hotels / Motels
• Manufactured homes
• 2-4 unit second homes
• Mixed-use property</t>
  </si>
  <si>
    <t>Properties zoned commercial or agricultural are ineligible</t>
  </si>
  <si>
    <t>Maine loans ineligible; Texas50(a)6 loans are ineligible</t>
  </si>
  <si>
    <t>A copy of the current Permanent Resident card (front and back) must be provided</t>
  </si>
  <si>
    <t>A copy of the borrower's current Green Card as evidence of Permanent Residency status</t>
  </si>
  <si>
    <t>• For 1-Unit properties, a Collateral Desktop Analysis (CDA) from Clear Capital is required. When two appraisals are required, the CDA must be for the appraisal used for qualification. A field review may be required if the CDA exceeds the allowable tolerance. Refer to product guidelines
• For 2-Unit properties, a field review is required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</si>
</sst>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164" formatCode="&quot;$&quot;#,##0.00"/>
    <numFmt numFmtId="165" formatCode="0.0000"/>
  </numFmts>
  <fonts count="29">
    <font>
      <sz val="11"/>
      <color theme="1"/>
      <name val="Calibri"/>
      <family val="2"/>
      <scheme val="minor"/>
    </font>
    <font>
      <sz val="11"/>
      <color theme="1"/>
      <name val="Futura LT Pro Medium"/>
      <family val="2"/>
    </font>
    <font>
      <b/>
      <sz val="11"/>
      <color theme="1"/>
      <name val="Futura LT Pro Medium"/>
      <family val="2"/>
    </font>
    <font>
      <sz val="11"/>
      <color rgb="FFFF0000"/>
      <name val="Calibri"/>
      <family val="2"/>
      <scheme val="minor"/>
    </font>
    <font>
      <sz val="8"/>
      <color rgb="FF000000"/>
      <name val="Segoe UI"/>
      <family val="2"/>
    </font>
    <font>
      <sz val="18"/>
      <color theme="1"/>
      <name val="Calibri"/>
      <family val="2"/>
      <scheme val="minor"/>
    </font>
    <font>
      <sz val="18"/>
      <color theme="0"/>
      <name val="Futura LT Pro Book"/>
      <family val="2"/>
    </font>
    <font>
      <sz val="11"/>
      <color theme="1"/>
      <name val="Futura PT Book"/>
      <family val="2"/>
    </font>
    <font>
      <sz val="18"/>
      <color theme="0"/>
      <name val="Futura PT Book"/>
      <family val="2"/>
    </font>
    <font>
      <sz val="11"/>
      <color rgb="FFFF0000"/>
      <name val="Futura PT Book"/>
      <family val="2"/>
    </font>
    <font>
      <sz val="11"/>
      <color theme="0"/>
      <name val="Futura PT Book"/>
      <family val="2"/>
    </font>
    <font>
      <sz val="26"/>
      <color theme="0"/>
      <name val="Futura PT Book"/>
      <family val="2"/>
    </font>
    <font>
      <sz val="14"/>
      <color theme="1"/>
      <name val="Futura PT Book"/>
      <family val="2"/>
    </font>
    <font>
      <sz val="28"/>
      <color theme="0"/>
      <name val="Futura LT Pro Book"/>
      <family val="2"/>
    </font>
    <font>
      <sz val="12"/>
      <color theme="1"/>
      <name val="Futura LT Pro Book"/>
      <family val="2"/>
    </font>
    <font>
      <b/>
      <sz val="16"/>
      <color theme="1"/>
      <name val="Futura PT Book"/>
      <family val="2"/>
    </font>
    <font>
      <sz val="11"/>
      <color rgb="FF000000"/>
      <name val="Calibri"/>
      <family val="2"/>
      <scheme val="minor"/>
    </font>
    <font>
      <sz val="11"/>
      <color rgb="FF000000"/>
      <name val="Calibri"/>
      <family val="2"/>
      <charset val="1"/>
      <scheme val="minor"/>
    </font>
    <font>
      <sz val="11"/>
      <color rgb="FF444444"/>
      <name val="Calibri"/>
      <family val="2"/>
      <charset val="1"/>
      <scheme val="minor"/>
    </font>
    <font>
      <sz val="36"/>
      <color theme="0"/>
      <name val="Futura PT Book"/>
      <family val="2"/>
    </font>
    <font>
      <sz val="36"/>
      <color theme="1"/>
      <name val="Futura PT Book"/>
      <family val="2"/>
    </font>
    <font>
      <b/>
      <sz val="22"/>
      <color theme="0"/>
      <name val="Futura PT Book"/>
      <family val="2"/>
    </font>
    <font>
      <b/>
      <sz val="11"/>
      <color theme="1"/>
      <name val="Futura PT Book"/>
      <family val="2"/>
    </font>
    <font>
      <u/>
      <sz val="11"/>
      <color theme="10"/>
      <name val="Calibri"/>
      <family val="2"/>
      <scheme val="minor"/>
    </font>
    <font>
      <sz val="10"/>
      <color theme="1"/>
      <name val="Futura PT Book"/>
      <family val="2"/>
    </font>
    <font>
      <sz val="11"/>
      <color rgb="FFE5E6E2"/>
      <name val="Futura PT Book"/>
      <family val="2"/>
    </font>
    <font>
      <sz val="6"/>
      <color rgb="FFE5E6E2"/>
      <name val="Futura LT Pro Book"/>
      <family val="2"/>
    </font>
    <font>
      <sz val="11"/>
      <color rgb="FF000000"/>
      <name val="Futura PT Book"/>
      <family val="2"/>
    </font>
    <font>
      <u/>
      <sz val="11"/>
      <color rgb="FF000000"/>
      <name val="Calibri"/>
      <family val="2"/>
      <scheme val="minor"/>
    </font>
  </fonts>
  <fills count="14">
    <fill>
      <patternFill patternType="none"/>
    </fill>
    <fill>
      <patternFill patternType="gray125"/>
    </fill>
    <fill>
      <patternFill patternType="solid">
        <fgColor rgb="FFCAB8FC"/>
        <bgColor indexed="64"/>
      </patternFill>
    </fill>
    <fill>
      <patternFill patternType="solid">
        <fgColor rgb="FFFA73B2"/>
        <bgColor indexed="64"/>
      </patternFill>
    </fill>
    <fill>
      <patternFill patternType="solid">
        <fgColor rgb="FF92D050"/>
        <bgColor indexed="64"/>
      </patternFill>
    </fill>
    <fill>
      <patternFill patternType="solid">
        <fgColor theme="0"/>
        <bgColor indexed="64"/>
      </patternFill>
    </fill>
    <fill>
      <patternFill patternType="solid">
        <fgColor theme="7" tint="0.59999389629810485"/>
        <bgColor indexed="64"/>
      </patternFill>
    </fill>
    <fill>
      <patternFill patternType="solid">
        <fgColor rgb="FF00B0F0"/>
        <bgColor indexed="64"/>
      </patternFill>
    </fill>
    <fill>
      <patternFill patternType="solid">
        <fgColor rgb="FF005F9E"/>
        <bgColor indexed="64"/>
      </patternFill>
    </fill>
    <fill>
      <patternFill patternType="solid">
        <fgColor rgb="FF00A39D"/>
        <bgColor indexed="64"/>
      </patternFill>
    </fill>
    <fill>
      <patternFill patternType="solid">
        <fgColor rgb="FFFFFFFF"/>
        <bgColor indexed="64"/>
      </patternFill>
    </fill>
    <fill>
      <patternFill patternType="solid">
        <fgColor rgb="FF00B050"/>
        <bgColor indexed="64"/>
      </patternFill>
    </fill>
    <fill>
      <patternFill patternType="solid">
        <fgColor rgb="FFE5E6E2"/>
        <bgColor indexed="64"/>
      </patternFill>
    </fill>
    <fill>
      <patternFill patternType="solid">
        <fgColor rgb="FFFFE699"/>
        <bgColor rgb="FF000000"/>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indexed="64"/>
      </left>
      <right/>
      <top/>
      <bottom/>
      <diagonal/>
    </border>
    <border>
      <left/>
      <right/>
      <top/>
      <bottom style="thin">
        <color indexed="64"/>
      </bottom>
      <diagonal/>
    </border>
    <border>
      <left style="thin">
        <color rgb="FFE5E6E2"/>
      </left>
      <right style="thin">
        <color rgb="FFE5E6E2"/>
      </right>
      <top style="thin">
        <color rgb="FFE5E6E2"/>
      </top>
      <bottom style="thin">
        <color rgb="FFE5E6E2"/>
      </bottom>
      <diagonal/>
    </border>
    <border>
      <left/>
      <right style="thin">
        <color theme="0"/>
      </right>
      <top style="thin">
        <color theme="0"/>
      </top>
      <bottom style="thin">
        <color theme="0"/>
      </bottom>
      <diagonal/>
    </border>
    <border>
      <left style="thin">
        <color rgb="FFE5E6E2"/>
      </left>
      <right style="thin">
        <color rgb="FFE5E6E2"/>
      </right>
      <top/>
      <bottom style="thin">
        <color rgb="FFE5E6E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theme="0"/>
      </top>
      <bottom style="thin">
        <color theme="0"/>
      </bottom>
      <diagonal/>
    </border>
    <border>
      <left style="thin">
        <color indexed="64"/>
      </left>
      <right style="thin">
        <color indexed="64"/>
      </right>
      <top style="thin">
        <color indexed="64"/>
      </top>
      <bottom/>
      <diagonal/>
    </border>
    <border>
      <left/>
      <right/>
      <top/>
      <bottom style="thin">
        <color rgb="FF000000"/>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rgb="FFE5E6E2"/>
      </right>
      <top/>
      <bottom/>
      <diagonal/>
    </border>
  </borders>
  <cellStyleXfs count="2">
    <xf numFmtId="0" fontId="0" fillId="0" borderId="0"/>
    <xf numFmtId="0" fontId="23" fillId="0" borderId="0" applyNumberFormat="0" applyFill="0" applyBorder="0" applyAlignment="0" applyProtection="0"/>
  </cellStyleXfs>
  <cellXfs count="158">
    <xf numFmtId="0" fontId="0" fillId="0" borderId="0" xfId="0"/>
    <xf numFmtId="0" fontId="0" fillId="0" borderId="0" xfId="0" applyAlignment="1">
      <alignment horizontal="left" vertical="top" wrapText="1"/>
    </xf>
    <xf numFmtId="0" fontId="0" fillId="0" borderId="1" xfId="0" applyBorder="1" applyAlignment="1">
      <alignment horizontal="left" vertical="top" wrapText="1"/>
    </xf>
    <xf numFmtId="0" fontId="0" fillId="5" borderId="1" xfId="0" applyFill="1" applyBorder="1" applyAlignment="1">
      <alignment horizontal="left" vertical="top" wrapText="1"/>
    </xf>
    <xf numFmtId="9" fontId="0" fillId="5" borderId="1" xfId="0" applyNumberFormat="1" applyFill="1" applyBorder="1" applyAlignment="1">
      <alignment horizontal="left" vertical="top" wrapText="1"/>
    </xf>
    <xf numFmtId="0" fontId="0" fillId="6" borderId="1" xfId="0" applyFill="1" applyBorder="1" applyAlignment="1">
      <alignment horizontal="left" vertical="top" wrapText="1"/>
    </xf>
    <xf numFmtId="0" fontId="0" fillId="3" borderId="1" xfId="0" applyFill="1" applyBorder="1" applyAlignment="1">
      <alignment horizontal="left" vertical="top" wrapText="1"/>
    </xf>
    <xf numFmtId="9" fontId="0" fillId="3" borderId="1" xfId="0" applyNumberFormat="1" applyFill="1" applyBorder="1" applyAlignment="1">
      <alignment horizontal="left" vertical="top" wrapText="1"/>
    </xf>
    <xf numFmtId="0" fontId="0" fillId="4" borderId="1" xfId="0" applyFill="1" applyBorder="1" applyAlignment="1">
      <alignment horizontal="left" vertical="top" wrapText="1"/>
    </xf>
    <xf numFmtId="9" fontId="0" fillId="4" borderId="1" xfId="0" applyNumberFormat="1" applyFill="1" applyBorder="1" applyAlignment="1">
      <alignment horizontal="left" vertical="top" wrapText="1"/>
    </xf>
    <xf numFmtId="0" fontId="0" fillId="7" borderId="1" xfId="0" applyFill="1" applyBorder="1" applyAlignment="1">
      <alignment horizontal="left" vertical="top" wrapText="1"/>
    </xf>
    <xf numFmtId="10" fontId="0" fillId="7" borderId="1" xfId="0" applyNumberFormat="1" applyFill="1" applyBorder="1" applyAlignment="1">
      <alignment horizontal="left" vertical="top" wrapText="1"/>
    </xf>
    <xf numFmtId="0" fontId="0" fillId="2" borderId="1" xfId="0" applyFill="1" applyBorder="1" applyAlignment="1">
      <alignment horizontal="left" vertical="top" wrapText="1"/>
    </xf>
    <xf numFmtId="0" fontId="1" fillId="0" borderId="0" xfId="0" applyFont="1"/>
    <xf numFmtId="0" fontId="2" fillId="0" borderId="0" xfId="0" applyFont="1" applyAlignment="1">
      <alignment horizontal="right" vertical="top" wrapText="1"/>
    </xf>
    <xf numFmtId="0" fontId="1" fillId="0" borderId="0" xfId="0" applyFont="1" applyAlignment="1">
      <alignment horizontal="left" vertical="top" wrapText="1"/>
    </xf>
    <xf numFmtId="0" fontId="0" fillId="0" borderId="0" xfId="0" applyAlignment="1">
      <alignment horizontal="right"/>
    </xf>
    <xf numFmtId="0" fontId="3" fillId="0" borderId="0" xfId="0" applyFont="1"/>
    <xf numFmtId="165" fontId="0" fillId="0" borderId="0" xfId="0" applyNumberFormat="1"/>
    <xf numFmtId="0" fontId="0" fillId="0" borderId="0" xfId="0" applyAlignment="1">
      <alignment wrapText="1"/>
    </xf>
    <xf numFmtId="0" fontId="0" fillId="0" borderId="0" xfId="0" applyAlignment="1">
      <alignment vertical="top" wrapText="1"/>
    </xf>
    <xf numFmtId="0" fontId="0" fillId="0" borderId="0" xfId="0" applyAlignment="1">
      <alignment vertical="top"/>
    </xf>
    <xf numFmtId="0" fontId="0" fillId="11" borderId="0" xfId="0" applyFill="1"/>
    <xf numFmtId="0" fontId="6" fillId="8" borderId="1" xfId="0" applyFont="1" applyFill="1" applyBorder="1" applyAlignment="1">
      <alignment horizontal="left" wrapText="1"/>
    </xf>
    <xf numFmtId="0" fontId="6" fillId="9" borderId="1" xfId="0" applyFont="1" applyFill="1" applyBorder="1" applyAlignment="1">
      <alignment horizontal="right" vertical="top"/>
    </xf>
    <xf numFmtId="0" fontId="0" fillId="8" borderId="0" xfId="0" applyFill="1" applyAlignment="1">
      <alignment wrapText="1"/>
    </xf>
    <xf numFmtId="0" fontId="5" fillId="8" borderId="11" xfId="0" applyFont="1" applyFill="1" applyBorder="1"/>
    <xf numFmtId="0" fontId="0" fillId="0" borderId="0" xfId="0" applyProtection="1">
      <protection locked="0"/>
    </xf>
    <xf numFmtId="0" fontId="0" fillId="0" borderId="0" xfId="0" applyAlignment="1" applyProtection="1">
      <alignment wrapText="1"/>
      <protection locked="0"/>
    </xf>
    <xf numFmtId="0" fontId="7" fillId="0" borderId="0" xfId="0" applyFont="1" applyAlignment="1">
      <alignment horizontal="right"/>
    </xf>
    <xf numFmtId="0" fontId="7" fillId="0" borderId="0" xfId="0" applyFont="1"/>
    <xf numFmtId="0" fontId="7" fillId="0" borderId="14" xfId="0" applyFont="1" applyBorder="1" applyAlignment="1">
      <alignment horizontal="right"/>
    </xf>
    <xf numFmtId="0" fontId="7" fillId="0" borderId="12" xfId="0" applyFont="1" applyBorder="1" applyAlignment="1">
      <alignment horizontal="right"/>
    </xf>
    <xf numFmtId="0" fontId="7" fillId="0" borderId="0" xfId="0" applyFont="1" applyAlignment="1">
      <alignment horizontal="center"/>
    </xf>
    <xf numFmtId="0" fontId="7" fillId="0" borderId="14" xfId="0" applyFont="1" applyBorder="1" applyAlignment="1">
      <alignment horizontal="right" wrapText="1"/>
    </xf>
    <xf numFmtId="0" fontId="7" fillId="12" borderId="9" xfId="0" applyFont="1" applyFill="1" applyBorder="1" applyAlignment="1" applyProtection="1">
      <alignment horizontal="center"/>
      <protection locked="0"/>
    </xf>
    <xf numFmtId="0" fontId="7" fillId="0" borderId="12" xfId="0" applyFont="1" applyBorder="1" applyAlignment="1">
      <alignment horizontal="right" wrapText="1"/>
    </xf>
    <xf numFmtId="0" fontId="7" fillId="12" borderId="13" xfId="0" applyFont="1" applyFill="1" applyBorder="1" applyAlignment="1" applyProtection="1">
      <alignment horizontal="center"/>
      <protection locked="0"/>
    </xf>
    <xf numFmtId="0" fontId="9" fillId="0" borderId="0" xfId="0" applyFont="1"/>
    <xf numFmtId="0" fontId="9" fillId="0" borderId="0" xfId="0" applyFont="1" applyAlignment="1">
      <alignment horizontal="right"/>
    </xf>
    <xf numFmtId="0" fontId="12" fillId="0" borderId="0" xfId="0" applyFont="1" applyAlignment="1">
      <alignment horizontal="left"/>
    </xf>
    <xf numFmtId="0" fontId="8" fillId="5" borderId="0" xfId="0" applyFont="1" applyFill="1"/>
    <xf numFmtId="0" fontId="7" fillId="12" borderId="4" xfId="0" applyFont="1" applyFill="1" applyBorder="1" applyAlignment="1" applyProtection="1">
      <alignment horizontal="center"/>
      <protection locked="0"/>
    </xf>
    <xf numFmtId="0" fontId="10" fillId="5" borderId="0" xfId="0" applyFont="1" applyFill="1" applyAlignment="1">
      <alignment vertical="top" wrapText="1"/>
    </xf>
    <xf numFmtId="0" fontId="7" fillId="12" borderId="21" xfId="0" applyFont="1" applyFill="1" applyBorder="1" applyAlignment="1" applyProtection="1">
      <alignment horizontal="center" vertical="center"/>
      <protection locked="0"/>
    </xf>
    <xf numFmtId="10" fontId="7" fillId="12" borderId="21" xfId="0" applyNumberFormat="1" applyFont="1" applyFill="1" applyBorder="1" applyAlignment="1" applyProtection="1">
      <alignment horizontal="center" vertical="center"/>
      <protection locked="0"/>
    </xf>
    <xf numFmtId="0" fontId="7" fillId="12" borderId="3" xfId="0" applyFont="1" applyFill="1" applyBorder="1" applyAlignment="1" applyProtection="1">
      <alignment horizontal="center" vertical="center"/>
      <protection locked="0"/>
    </xf>
    <xf numFmtId="10" fontId="0" fillId="2" borderId="1" xfId="0" applyNumberFormat="1" applyFill="1" applyBorder="1" applyAlignment="1">
      <alignment horizontal="left" vertical="top" wrapText="1"/>
    </xf>
    <xf numFmtId="10" fontId="0" fillId="4" borderId="1" xfId="0" applyNumberFormat="1" applyFill="1" applyBorder="1" applyAlignment="1">
      <alignment horizontal="left" vertical="top" wrapText="1"/>
    </xf>
    <xf numFmtId="10" fontId="0" fillId="3" borderId="1" xfId="0" applyNumberFormat="1" applyFill="1" applyBorder="1" applyAlignment="1">
      <alignment horizontal="left" vertical="top" wrapText="1"/>
    </xf>
    <xf numFmtId="10" fontId="0" fillId="5" borderId="1" xfId="0" applyNumberFormat="1" applyFill="1" applyBorder="1" applyAlignment="1">
      <alignment horizontal="left" vertical="top" wrapText="1"/>
    </xf>
    <xf numFmtId="0" fontId="15" fillId="0" borderId="1" xfId="0" applyFont="1" applyBorder="1" applyAlignment="1">
      <alignment horizontal="right" vertical="top"/>
    </xf>
    <xf numFmtId="0" fontId="16" fillId="13" borderId="0" xfId="0" applyFont="1" applyFill="1" applyAlignment="1">
      <alignment horizontal="left" wrapText="1"/>
    </xf>
    <xf numFmtId="0" fontId="16" fillId="13" borderId="23" xfId="0" applyFont="1" applyFill="1" applyBorder="1" applyAlignment="1">
      <alignment horizontal="left" wrapText="1"/>
    </xf>
    <xf numFmtId="9" fontId="0" fillId="2" borderId="1" xfId="0" applyNumberFormat="1" applyFill="1" applyBorder="1" applyAlignment="1">
      <alignment horizontal="left" vertical="top" wrapText="1"/>
    </xf>
    <xf numFmtId="9" fontId="0" fillId="7" borderId="1" xfId="0" applyNumberFormat="1" applyFill="1" applyBorder="1" applyAlignment="1">
      <alignment horizontal="left" vertical="top" wrapText="1"/>
    </xf>
    <xf numFmtId="6" fontId="0" fillId="5" borderId="1" xfId="0" applyNumberFormat="1" applyFill="1" applyBorder="1" applyAlignment="1">
      <alignment horizontal="left" vertical="top" wrapText="1"/>
    </xf>
    <xf numFmtId="6" fontId="0" fillId="4" borderId="1" xfId="0" applyNumberFormat="1" applyFill="1" applyBorder="1" applyAlignment="1">
      <alignment horizontal="left" vertical="top" wrapText="1"/>
    </xf>
    <xf numFmtId="0" fontId="7" fillId="0" borderId="1" xfId="0" applyFont="1" applyBorder="1" applyAlignment="1" applyProtection="1">
      <alignment horizontal="left" vertical="center"/>
      <protection locked="0"/>
    </xf>
    <xf numFmtId="0" fontId="21" fillId="9" borderId="1" xfId="0" applyFont="1" applyFill="1" applyBorder="1" applyAlignment="1">
      <alignment horizontal="right" vertical="top" wrapText="1"/>
    </xf>
    <xf numFmtId="0" fontId="21" fillId="9" borderId="1" xfId="0" applyFont="1" applyFill="1" applyBorder="1" applyAlignment="1">
      <alignment horizontal="left" vertical="top" wrapText="1"/>
    </xf>
    <xf numFmtId="0" fontId="7" fillId="0" borderId="0" xfId="0" applyFont="1" applyAlignment="1">
      <alignment vertical="top"/>
    </xf>
    <xf numFmtId="0" fontId="22" fillId="0" borderId="0" xfId="0" applyFont="1" applyAlignment="1">
      <alignment horizontal="right" vertical="top" wrapText="1"/>
    </xf>
    <xf numFmtId="0" fontId="7" fillId="0" borderId="0" xfId="0" applyFont="1" applyAlignment="1">
      <alignment horizontal="left" vertical="top" wrapText="1"/>
    </xf>
    <xf numFmtId="0" fontId="16" fillId="13" borderId="0" xfId="0" applyFont="1" applyFill="1" applyAlignment="1">
      <alignment horizontal="left" vertical="top" wrapText="1"/>
    </xf>
    <xf numFmtId="9" fontId="16" fillId="13" borderId="0" xfId="0" applyNumberFormat="1" applyFont="1" applyFill="1" applyAlignment="1">
      <alignment horizontal="left" vertical="top" wrapText="1"/>
    </xf>
    <xf numFmtId="0" fontId="18" fillId="13" borderId="0" xfId="0" applyFont="1" applyFill="1" applyAlignment="1">
      <alignment horizontal="left" vertical="top" wrapText="1"/>
    </xf>
    <xf numFmtId="0" fontId="17" fillId="13" borderId="0" xfId="0" applyFont="1" applyFill="1" applyAlignment="1">
      <alignment horizontal="left" vertical="top" wrapText="1"/>
    </xf>
    <xf numFmtId="0" fontId="6" fillId="8" borderId="24" xfId="0" applyFont="1" applyFill="1" applyBorder="1" applyAlignment="1">
      <alignment horizontal="left" wrapText="1"/>
    </xf>
    <xf numFmtId="0" fontId="6" fillId="8" borderId="1" xfId="0" applyFont="1" applyFill="1" applyBorder="1" applyAlignment="1">
      <alignment horizontal="right"/>
    </xf>
    <xf numFmtId="0" fontId="5" fillId="0" borderId="1" xfId="0" applyFont="1" applyBorder="1" applyAlignment="1">
      <alignment horizontal="right"/>
    </xf>
    <xf numFmtId="0" fontId="23" fillId="2" borderId="1" xfId="1" applyFill="1" applyBorder="1" applyAlignment="1">
      <alignment horizontal="left" vertical="top" wrapText="1"/>
    </xf>
    <xf numFmtId="0" fontId="23" fillId="7" borderId="1" xfId="1" applyFill="1" applyBorder="1" applyAlignment="1">
      <alignment horizontal="left" vertical="top" wrapText="1"/>
    </xf>
    <xf numFmtId="0" fontId="23" fillId="4" borderId="1" xfId="1" applyFill="1" applyBorder="1" applyAlignment="1">
      <alignment horizontal="left" vertical="top" wrapText="1"/>
    </xf>
    <xf numFmtId="0" fontId="23" fillId="3" borderId="1" xfId="1" applyFill="1" applyBorder="1" applyAlignment="1">
      <alignment horizontal="left" vertical="top" wrapText="1"/>
    </xf>
    <xf numFmtId="0" fontId="23" fillId="13" borderId="1" xfId="1" applyFill="1" applyBorder="1" applyAlignment="1">
      <alignment horizontal="left" vertical="top" wrapText="1"/>
    </xf>
    <xf numFmtId="0" fontId="23" fillId="5" borderId="1" xfId="1" applyFill="1" applyBorder="1" applyAlignment="1">
      <alignment horizontal="left" vertical="top" wrapText="1"/>
    </xf>
    <xf numFmtId="9" fontId="16" fillId="13" borderId="1" xfId="0" applyNumberFormat="1" applyFont="1" applyFill="1" applyBorder="1" applyAlignment="1">
      <alignment horizontal="left" vertical="top" wrapText="1"/>
    </xf>
    <xf numFmtId="0" fontId="5" fillId="0" borderId="22" xfId="0" applyFont="1" applyBorder="1" applyAlignment="1">
      <alignment horizontal="right"/>
    </xf>
    <xf numFmtId="0" fontId="5" fillId="0" borderId="25" xfId="0" applyFont="1" applyBorder="1" applyAlignment="1">
      <alignment horizontal="right"/>
    </xf>
    <xf numFmtId="0" fontId="5" fillId="0" borderId="0" xfId="0" applyFont="1" applyAlignment="1">
      <alignment horizontal="right"/>
    </xf>
    <xf numFmtId="0" fontId="14" fillId="0" borderId="24" xfId="0" applyFont="1" applyBorder="1" applyAlignment="1">
      <alignment horizontal="left" vertical="top" wrapText="1"/>
    </xf>
    <xf numFmtId="0" fontId="14" fillId="0" borderId="1" xfId="0" applyFont="1" applyBorder="1" applyAlignment="1">
      <alignment horizontal="left" vertical="top" wrapText="1"/>
    </xf>
    <xf numFmtId="0" fontId="24" fillId="0" borderId="24" xfId="0" applyFont="1" applyBorder="1" applyAlignment="1" applyProtection="1">
      <alignment horizontal="left" vertical="top" wrapText="1"/>
      <protection locked="0"/>
    </xf>
    <xf numFmtId="0" fontId="24" fillId="0" borderId="1" xfId="0" applyFont="1" applyBorder="1" applyAlignment="1" applyProtection="1">
      <alignment horizontal="left" vertical="top" wrapText="1"/>
      <protection locked="0"/>
    </xf>
    <xf numFmtId="0" fontId="8" fillId="9" borderId="1" xfId="0" applyFont="1" applyFill="1" applyBorder="1" applyAlignment="1">
      <alignment horizontal="right" vertical="top"/>
    </xf>
    <xf numFmtId="0" fontId="7" fillId="0" borderId="24" xfId="0" applyFont="1" applyBorder="1" applyAlignment="1" applyProtection="1">
      <alignment horizontal="left" vertical="top" wrapText="1"/>
      <protection locked="0"/>
    </xf>
    <xf numFmtId="0" fontId="7" fillId="0" borderId="1" xfId="0" applyFont="1" applyBorder="1" applyAlignment="1" applyProtection="1">
      <alignment horizontal="left" vertical="top" wrapText="1"/>
      <protection locked="0"/>
    </xf>
    <xf numFmtId="0" fontId="8" fillId="9" borderId="1" xfId="0" applyFont="1" applyFill="1" applyBorder="1" applyAlignment="1" applyProtection="1">
      <alignment horizontal="right" vertical="top" wrapText="1"/>
      <protection locked="0"/>
    </xf>
    <xf numFmtId="0" fontId="8" fillId="9" borderId="1" xfId="0" applyFont="1" applyFill="1" applyBorder="1" applyAlignment="1" applyProtection="1">
      <alignment horizontal="right" vertical="top"/>
      <protection locked="0"/>
    </xf>
    <xf numFmtId="0" fontId="23" fillId="0" borderId="1" xfId="1" applyNumberFormat="1" applyBorder="1" applyAlignment="1">
      <alignment horizontal="left" vertical="top" wrapText="1"/>
    </xf>
    <xf numFmtId="0" fontId="7" fillId="0" borderId="26" xfId="0" applyFont="1" applyBorder="1"/>
    <xf numFmtId="164" fontId="7" fillId="0" borderId="26" xfId="0" applyNumberFormat="1" applyFont="1" applyBorder="1"/>
    <xf numFmtId="10" fontId="7" fillId="12" borderId="8" xfId="0" applyNumberFormat="1" applyFont="1" applyFill="1" applyBorder="1" applyAlignment="1" applyProtection="1">
      <alignment horizontal="center" vertical="center"/>
      <protection locked="0"/>
    </xf>
    <xf numFmtId="1" fontId="7" fillId="12" borderId="21" xfId="0" applyNumberFormat="1" applyFont="1" applyFill="1" applyBorder="1" applyAlignment="1" applyProtection="1">
      <alignment horizontal="center" vertical="center"/>
      <protection locked="0"/>
    </xf>
    <xf numFmtId="0" fontId="28" fillId="10" borderId="1" xfId="1" applyNumberFormat="1" applyFont="1" applyFill="1" applyBorder="1" applyAlignment="1" applyProtection="1">
      <alignment horizontal="left" vertical="top" wrapText="1"/>
      <protection locked="0"/>
    </xf>
    <xf numFmtId="0" fontId="22" fillId="0" borderId="1" xfId="0" applyFont="1" applyBorder="1" applyAlignment="1">
      <alignment horizontal="right" vertical="top" wrapText="1"/>
    </xf>
    <xf numFmtId="0" fontId="7" fillId="0" borderId="1" xfId="0" applyFont="1" applyBorder="1" applyAlignment="1">
      <alignment horizontal="left" vertical="top" wrapText="1"/>
    </xf>
    <xf numFmtId="0" fontId="28" fillId="10" borderId="24" xfId="1" applyNumberFormat="1" applyFont="1" applyFill="1" applyBorder="1" applyAlignment="1" applyProtection="1">
      <alignment horizontal="left" vertical="top" wrapText="1"/>
      <protection locked="0"/>
    </xf>
    <xf numFmtId="0" fontId="25" fillId="0" borderId="0" xfId="0" applyFont="1" applyAlignment="1">
      <alignment horizontal="center" vertical="center"/>
    </xf>
    <xf numFmtId="0" fontId="26" fillId="0" borderId="0" xfId="0" applyFont="1" applyAlignment="1">
      <alignment horizontal="center" vertical="center" wrapText="1"/>
    </xf>
    <xf numFmtId="0" fontId="0" fillId="8" borderId="0" xfId="0" applyFill="1" applyAlignment="1">
      <alignment horizontal="center"/>
    </xf>
    <xf numFmtId="0" fontId="10" fillId="10" borderId="15" xfId="0" applyFont="1" applyFill="1" applyBorder="1" applyAlignment="1">
      <alignment horizontal="center" vertical="top" wrapText="1"/>
    </xf>
    <xf numFmtId="0" fontId="10" fillId="5" borderId="16" xfId="0" applyFont="1" applyFill="1" applyBorder="1" applyAlignment="1">
      <alignment horizontal="center" vertical="top" wrapText="1"/>
    </xf>
    <xf numFmtId="0" fontId="10" fillId="5" borderId="17" xfId="0" applyFont="1" applyFill="1" applyBorder="1" applyAlignment="1">
      <alignment horizontal="center" vertical="top" wrapText="1"/>
    </xf>
    <xf numFmtId="0" fontId="10" fillId="5" borderId="10" xfId="0" applyFont="1" applyFill="1" applyBorder="1" applyAlignment="1">
      <alignment horizontal="center" vertical="top" wrapText="1"/>
    </xf>
    <xf numFmtId="0" fontId="10" fillId="5" borderId="0" xfId="0" applyFont="1" applyFill="1" applyAlignment="1">
      <alignment horizontal="center" vertical="top" wrapText="1"/>
    </xf>
    <xf numFmtId="0" fontId="10" fillId="5" borderId="18" xfId="0" applyFont="1" applyFill="1" applyBorder="1" applyAlignment="1">
      <alignment horizontal="center" vertical="top" wrapText="1"/>
    </xf>
    <xf numFmtId="0" fontId="10" fillId="5" borderId="19" xfId="0" applyFont="1" applyFill="1" applyBorder="1" applyAlignment="1">
      <alignment horizontal="center" vertical="top" wrapText="1"/>
    </xf>
    <xf numFmtId="0" fontId="10" fillId="5" borderId="11" xfId="0" applyFont="1" applyFill="1" applyBorder="1" applyAlignment="1">
      <alignment horizontal="center" vertical="top" wrapText="1"/>
    </xf>
    <xf numFmtId="0" fontId="10" fillId="5" borderId="20" xfId="0" applyFont="1" applyFill="1" applyBorder="1" applyAlignment="1">
      <alignment horizontal="center" vertical="top" wrapText="1"/>
    </xf>
    <xf numFmtId="0" fontId="11" fillId="8" borderId="2" xfId="0" applyFont="1" applyFill="1" applyBorder="1" applyAlignment="1">
      <alignment horizontal="center"/>
    </xf>
    <xf numFmtId="0" fontId="11" fillId="8" borderId="3" xfId="0" applyFont="1" applyFill="1" applyBorder="1" applyAlignment="1">
      <alignment horizontal="center"/>
    </xf>
    <xf numFmtId="0" fontId="11" fillId="8" borderId="4" xfId="0" applyFont="1" applyFill="1" applyBorder="1" applyAlignment="1">
      <alignment horizontal="center"/>
    </xf>
    <xf numFmtId="0" fontId="11" fillId="8" borderId="5" xfId="0" applyFont="1" applyFill="1" applyBorder="1" applyAlignment="1">
      <alignment horizontal="center"/>
    </xf>
    <xf numFmtId="0" fontId="11" fillId="8" borderId="0" xfId="0" applyFont="1" applyFill="1" applyAlignment="1">
      <alignment horizontal="center"/>
    </xf>
    <xf numFmtId="0" fontId="11" fillId="8" borderId="6" xfId="0" applyFont="1" applyFill="1" applyBorder="1" applyAlignment="1">
      <alignment horizontal="center"/>
    </xf>
    <xf numFmtId="0" fontId="11" fillId="8" borderId="7" xfId="0" applyFont="1" applyFill="1" applyBorder="1" applyAlignment="1">
      <alignment horizontal="center"/>
    </xf>
    <xf numFmtId="0" fontId="11" fillId="8" borderId="8" xfId="0" applyFont="1" applyFill="1" applyBorder="1" applyAlignment="1">
      <alignment horizontal="center"/>
    </xf>
    <xf numFmtId="0" fontId="11" fillId="8" borderId="9" xfId="0" applyFont="1" applyFill="1" applyBorder="1" applyAlignment="1">
      <alignment horizontal="center"/>
    </xf>
    <xf numFmtId="0" fontId="8" fillId="9" borderId="2" xfId="0" applyFont="1" applyFill="1" applyBorder="1" applyAlignment="1">
      <alignment horizontal="center"/>
    </xf>
    <xf numFmtId="0" fontId="8" fillId="9" borderId="3" xfId="0" applyFont="1" applyFill="1" applyBorder="1" applyAlignment="1">
      <alignment horizontal="center"/>
    </xf>
    <xf numFmtId="0" fontId="8" fillId="9" borderId="4" xfId="0" applyFont="1" applyFill="1" applyBorder="1" applyAlignment="1">
      <alignment horizontal="center"/>
    </xf>
    <xf numFmtId="0" fontId="8" fillId="9" borderId="7" xfId="0" applyFont="1" applyFill="1" applyBorder="1" applyAlignment="1">
      <alignment horizontal="center"/>
    </xf>
    <xf numFmtId="0" fontId="8" fillId="9" borderId="8" xfId="0" applyFont="1" applyFill="1" applyBorder="1" applyAlignment="1">
      <alignment horizontal="center"/>
    </xf>
    <xf numFmtId="0" fontId="8" fillId="9" borderId="0" xfId="0" applyFont="1" applyFill="1" applyAlignment="1">
      <alignment horizontal="center"/>
    </xf>
    <xf numFmtId="0" fontId="8" fillId="9" borderId="6" xfId="0" applyFont="1" applyFill="1" applyBorder="1" applyAlignment="1">
      <alignment horizontal="center"/>
    </xf>
    <xf numFmtId="0" fontId="8" fillId="9" borderId="5" xfId="0" applyFont="1" applyFill="1" applyBorder="1" applyAlignment="1">
      <alignment horizontal="center"/>
    </xf>
    <xf numFmtId="0" fontId="8" fillId="9" borderId="9" xfId="0" applyFont="1" applyFill="1" applyBorder="1" applyAlignment="1">
      <alignment horizontal="center"/>
    </xf>
    <xf numFmtId="0" fontId="10" fillId="10" borderId="19" xfId="0" applyFont="1" applyFill="1" applyBorder="1" applyAlignment="1">
      <alignment horizontal="center" vertical="top" wrapText="1"/>
    </xf>
    <xf numFmtId="0" fontId="8" fillId="8" borderId="2" xfId="0" applyFont="1" applyFill="1" applyBorder="1" applyAlignment="1">
      <alignment horizontal="center"/>
    </xf>
    <xf numFmtId="0" fontId="8" fillId="8" borderId="3" xfId="0" applyFont="1" applyFill="1" applyBorder="1" applyAlignment="1">
      <alignment horizontal="center"/>
    </xf>
    <xf numFmtId="0" fontId="8" fillId="8" borderId="4" xfId="0" applyFont="1" applyFill="1" applyBorder="1" applyAlignment="1">
      <alignment horizontal="center"/>
    </xf>
    <xf numFmtId="0" fontId="8" fillId="10" borderId="5" xfId="0" applyFont="1" applyFill="1" applyBorder="1" applyAlignment="1">
      <alignment horizontal="center"/>
    </xf>
    <xf numFmtId="0" fontId="8" fillId="8" borderId="0" xfId="0" applyFont="1" applyFill="1" applyAlignment="1">
      <alignment horizontal="center"/>
    </xf>
    <xf numFmtId="0" fontId="8" fillId="8" borderId="6" xfId="0" applyFont="1" applyFill="1" applyBorder="1" applyAlignment="1">
      <alignment horizontal="center"/>
    </xf>
    <xf numFmtId="0" fontId="8" fillId="8" borderId="7" xfId="0" applyFont="1" applyFill="1" applyBorder="1" applyAlignment="1">
      <alignment horizontal="center"/>
    </xf>
    <xf numFmtId="0" fontId="8" fillId="8" borderId="8" xfId="0" applyFont="1" applyFill="1" applyBorder="1" applyAlignment="1">
      <alignment horizontal="center"/>
    </xf>
    <xf numFmtId="0" fontId="8" fillId="8" borderId="9" xfId="0" applyFont="1" applyFill="1" applyBorder="1" applyAlignment="1">
      <alignment horizontal="center"/>
    </xf>
    <xf numFmtId="0" fontId="7" fillId="0" borderId="0" xfId="0" applyFont="1" applyAlignment="1">
      <alignment horizontal="center"/>
    </xf>
    <xf numFmtId="0" fontId="19" fillId="8" borderId="2" xfId="0" applyFont="1" applyFill="1" applyBorder="1" applyAlignment="1">
      <alignment horizontal="center"/>
    </xf>
    <xf numFmtId="0" fontId="19" fillId="8" borderId="3" xfId="0" applyFont="1" applyFill="1" applyBorder="1" applyAlignment="1">
      <alignment horizontal="center"/>
    </xf>
    <xf numFmtId="0" fontId="19" fillId="8" borderId="4" xfId="0" applyFont="1" applyFill="1" applyBorder="1" applyAlignment="1">
      <alignment horizontal="center"/>
    </xf>
    <xf numFmtId="0" fontId="19" fillId="8" borderId="5" xfId="0" applyFont="1" applyFill="1" applyBorder="1" applyAlignment="1">
      <alignment horizontal="center"/>
    </xf>
    <xf numFmtId="0" fontId="19" fillId="8" borderId="0" xfId="0" applyFont="1" applyFill="1" applyAlignment="1">
      <alignment horizontal="center"/>
    </xf>
    <xf numFmtId="0" fontId="19" fillId="8" borderId="6" xfId="0" applyFont="1" applyFill="1" applyBorder="1" applyAlignment="1">
      <alignment horizontal="center"/>
    </xf>
    <xf numFmtId="0" fontId="19" fillId="8" borderId="7" xfId="0" applyFont="1" applyFill="1" applyBorder="1" applyAlignment="1">
      <alignment horizontal="center"/>
    </xf>
    <xf numFmtId="0" fontId="19" fillId="8" borderId="8" xfId="0" applyFont="1" applyFill="1" applyBorder="1" applyAlignment="1">
      <alignment horizontal="center"/>
    </xf>
    <xf numFmtId="0" fontId="19" fillId="8" borderId="9" xfId="0" applyFont="1" applyFill="1" applyBorder="1" applyAlignment="1">
      <alignment horizontal="center"/>
    </xf>
    <xf numFmtId="0" fontId="20" fillId="0" borderId="5" xfId="0" applyFont="1" applyBorder="1" applyAlignment="1">
      <alignment horizontal="center"/>
    </xf>
    <xf numFmtId="0" fontId="20" fillId="0" borderId="0" xfId="0" applyFont="1" applyAlignment="1">
      <alignment horizontal="center"/>
    </xf>
    <xf numFmtId="0" fontId="1" fillId="0" borderId="0" xfId="0" applyFont="1" applyAlignment="1">
      <alignment horizontal="center"/>
    </xf>
    <xf numFmtId="0" fontId="7" fillId="0" borderId="3"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13" fillId="8" borderId="11" xfId="0" applyFont="1" applyFill="1" applyBorder="1" applyAlignment="1">
      <alignment horizontal="right"/>
    </xf>
    <xf numFmtId="0" fontId="27" fillId="10" borderId="1" xfId="0" applyNumberFormat="1" applyFont="1" applyFill="1" applyBorder="1" applyAlignment="1" applyProtection="1">
      <alignment horizontal="left" vertical="top" wrapText="1"/>
      <protection locked="0"/>
    </xf>
    <xf numFmtId="0" fontId="27" fillId="10" borderId="24" xfId="0" applyNumberFormat="1" applyFont="1" applyFill="1" applyBorder="1" applyAlignment="1" applyProtection="1">
      <alignment horizontal="left" vertical="top" wrapText="1"/>
      <protection locked="0"/>
    </xf>
  </cellXfs>
  <cellStyles count="2">
    <cellStyle name="Hyperlink" xfId="1" builtinId="8"/>
    <cellStyle name="Normal" xfId="0" builtinId="0"/>
  </cellStyles>
  <dxfs count="9">
    <dxf>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dxf>
    <dxf>
      <alignment horizontal="left" vertical="top" textRotation="0" wrapText="1" indent="0" justifyLastLine="0" shrinkToFit="0" readingOrder="0"/>
    </dxf>
  </dxfs>
  <tableStyles count="0" defaultTableStyle="TableStyleMedium2" defaultPivotStyle="PivotStyleMedium9"/>
  <colors>
    <mruColors>
      <color rgb="FFE5E6E2"/>
      <color rgb="FF005F9E"/>
      <color rgb="FF00A39D"/>
      <color rgb="FF00B050"/>
      <color rgb="FFCAB8FC"/>
      <color rgb="FFFA73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CheckBox" fmlaLink="$O$9" lockText="1" noThreeD="1"/>
</file>

<file path=xl/ctrlProps/ctrlProp2.xml><?xml version="1.0" encoding="utf-8"?>
<formControlPr xmlns="http://schemas.microsoft.com/office/spreadsheetml/2009/9/main" objectType="CheckBox" fmlaLink="$O$12" lockText="1" noThreeD="1"/>
</file>

<file path=xl/ctrlProps/ctrlProp3.xml><?xml version="1.0" encoding="utf-8"?>
<formControlPr xmlns="http://schemas.microsoft.com/office/spreadsheetml/2009/9/main" objectType="CheckBox" fmlaLink="$O$10"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247650</xdr:colOff>
          <xdr:row>7</xdr:row>
          <xdr:rowOff>95250</xdr:rowOff>
        </xdr:from>
        <xdr:to>
          <xdr:col>5</xdr:col>
          <xdr:colOff>590550</xdr:colOff>
          <xdr:row>9</xdr:row>
          <xdr:rowOff>114300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First-time homebuyer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9</xdr:row>
          <xdr:rowOff>19050</xdr:rowOff>
        </xdr:from>
        <xdr:to>
          <xdr:col>5</xdr:col>
          <xdr:colOff>304800</xdr:colOff>
          <xdr:row>10</xdr:row>
          <xdr:rowOff>133350</xdr:rowOff>
        </xdr:to>
        <xdr:sp macro="" textlink="">
          <xdr:nvSpPr>
            <xdr:cNvPr id="3084" name="Check Box 12" hidden="1">
              <a:extLst>
                <a:ext uri="{63B3BB69-23CF-44E3-9099-C40C66FF867C}">
                  <a14:compatExt spid="_x0000_s3084"/>
                </a:ext>
                <a:ext uri="{FF2B5EF4-FFF2-40B4-BE49-F238E27FC236}">
                  <a16:creationId xmlns:a16="http://schemas.microsoft.com/office/drawing/2014/main" id="{00000000-0008-0000-0000-00000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Delayed Financing</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238125</xdr:colOff>
          <xdr:row>10</xdr:row>
          <xdr:rowOff>0</xdr:rowOff>
        </xdr:from>
        <xdr:to>
          <xdr:col>5</xdr:col>
          <xdr:colOff>581025</xdr:colOff>
          <xdr:row>12</xdr:row>
          <xdr:rowOff>66675</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Self-Employed</a:t>
              </a:r>
            </a:p>
          </xdr:txBody>
        </xdr:sp>
        <xdr:clientData fLocksWithSheet="0"/>
      </xdr:twoCellAnchor>
    </mc:Choice>
    <mc:Fallback/>
  </mc:AlternateContent>
  <xdr:twoCellAnchor>
    <xdr:from>
      <xdr:col>2</xdr:col>
      <xdr:colOff>395904</xdr:colOff>
      <xdr:row>37</xdr:row>
      <xdr:rowOff>45721</xdr:rowOff>
    </xdr:from>
    <xdr:to>
      <xdr:col>4</xdr:col>
      <xdr:colOff>441960</xdr:colOff>
      <xdr:row>40</xdr:row>
      <xdr:rowOff>129541</xdr:rowOff>
    </xdr:to>
    <xdr:sp macro="[0]!ArrowRight1_Click" textlink="">
      <xdr:nvSpPr>
        <xdr:cNvPr id="2" name="Arrow: Right 1">
          <a:extLst>
            <a:ext uri="{FF2B5EF4-FFF2-40B4-BE49-F238E27FC236}">
              <a16:creationId xmlns:a16="http://schemas.microsoft.com/office/drawing/2014/main" id="{00000000-0008-0000-0100-000002000000}"/>
            </a:ext>
          </a:extLst>
        </xdr:cNvPr>
        <xdr:cNvSpPr/>
      </xdr:nvSpPr>
      <xdr:spPr>
        <a:xfrm>
          <a:off x="6804324" y="6812281"/>
          <a:ext cx="1859616" cy="731520"/>
        </a:xfrm>
        <a:prstGeom prst="rightArrow">
          <a:avLst/>
        </a:prstGeom>
        <a:solidFill>
          <a:srgbClr val="005F9E"/>
        </a:solidFill>
        <a:ln>
          <a:solidFill>
            <a:schemeClr val="bg1">
              <a:alpha val="71000"/>
            </a:schemeClr>
          </a:solid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chemeClr val="bg1"/>
              </a:solidFill>
              <a:latin typeface="Futura LT Pro Book" panose="020B0502020204020303" pitchFamily="34" charset="0"/>
            </a:rPr>
            <a:t>Show detailed breakdown of  eligible products </a:t>
          </a:r>
        </a:p>
      </xdr:txBody>
    </xdr:sp>
    <xdr:clientData/>
  </xdr:twoCellAnchor>
  <xdr:twoCellAnchor>
    <xdr:from>
      <xdr:col>1</xdr:col>
      <xdr:colOff>701040</xdr:colOff>
      <xdr:row>37</xdr:row>
      <xdr:rowOff>121920</xdr:rowOff>
    </xdr:from>
    <xdr:to>
      <xdr:col>1</xdr:col>
      <xdr:colOff>3627120</xdr:colOff>
      <xdr:row>40</xdr:row>
      <xdr:rowOff>60960</xdr:rowOff>
    </xdr:to>
    <xdr:sp macro="[0]!RectangleRoundedCorners2_Click" textlink="">
      <xdr:nvSpPr>
        <xdr:cNvPr id="3" name="Rectangle: Rounded Corners 2">
          <a:extLst>
            <a:ext uri="{FF2B5EF4-FFF2-40B4-BE49-F238E27FC236}">
              <a16:creationId xmlns:a16="http://schemas.microsoft.com/office/drawing/2014/main" id="{00000000-0008-0000-0100-000003000000}"/>
            </a:ext>
          </a:extLst>
        </xdr:cNvPr>
        <xdr:cNvSpPr/>
      </xdr:nvSpPr>
      <xdr:spPr>
        <a:xfrm>
          <a:off x="1310640" y="6888480"/>
          <a:ext cx="2926080" cy="586740"/>
        </a:xfrm>
        <a:prstGeom prst="roundRect">
          <a:avLst/>
        </a:prstGeom>
        <a:solidFill>
          <a:srgbClr val="E5E6E2"/>
        </a:solidFill>
        <a:ln>
          <a:solidFill>
            <a:schemeClr val="bg1"/>
          </a:solidFill>
        </a:ln>
        <a:effectLst>
          <a:outerShdw blurRad="50800" dist="38100" algn="l" rotWithShape="0">
            <a:schemeClr val="tx1">
              <a:lumMod val="50000"/>
              <a:lumOff val="50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solidFill>
                <a:sysClr val="windowText" lastClr="000000"/>
              </a:solidFill>
              <a:latin typeface="Futura LT Pro Book" panose="020B0502020204020303" pitchFamily="34" charset="0"/>
            </a:rPr>
            <a:t>Show Eligible Products</a:t>
          </a:r>
        </a:p>
      </xdr:txBody>
    </xdr:sp>
    <xdr:clientData/>
  </xdr:twoCellAnchor>
  <xdr:twoCellAnchor>
    <xdr:from>
      <xdr:col>1</xdr:col>
      <xdr:colOff>472440</xdr:colOff>
      <xdr:row>6</xdr:row>
      <xdr:rowOff>83820</xdr:rowOff>
    </xdr:from>
    <xdr:to>
      <xdr:col>1</xdr:col>
      <xdr:colOff>1950720</xdr:colOff>
      <xdr:row>9</xdr:row>
      <xdr:rowOff>160020</xdr:rowOff>
    </xdr:to>
    <xdr:sp macro="[0]!Oval3_Click" textlink="">
      <xdr:nvSpPr>
        <xdr:cNvPr id="4" name="Oval 3">
          <a:extLst>
            <a:ext uri="{FF2B5EF4-FFF2-40B4-BE49-F238E27FC236}">
              <a16:creationId xmlns:a16="http://schemas.microsoft.com/office/drawing/2014/main" id="{00000000-0008-0000-0100-000004000000}"/>
            </a:ext>
          </a:extLst>
        </xdr:cNvPr>
        <xdr:cNvSpPr/>
      </xdr:nvSpPr>
      <xdr:spPr>
        <a:xfrm>
          <a:off x="1082040" y="1181100"/>
          <a:ext cx="1478280" cy="624840"/>
        </a:xfrm>
        <a:prstGeom prst="ellipse">
          <a:avLst/>
        </a:prstGeom>
        <a:solidFill>
          <a:srgbClr val="005F9E"/>
        </a:solidFill>
        <a:ln>
          <a:solidFill>
            <a:schemeClr val="bg1">
              <a:alpha val="85000"/>
            </a:schemeClr>
          </a:solid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chemeClr val="bg1"/>
              </a:solidFill>
              <a:latin typeface="Futura LT Pro Book" panose="020B0502020204020303" pitchFamily="34" charset="0"/>
            </a:rPr>
            <a:t>Clear worksheet</a:t>
          </a:r>
        </a:p>
      </xdr:txBody>
    </xdr:sp>
    <xdr:clientData/>
  </xdr:twoCellAnchor>
  <xdr:twoCellAnchor editAs="oneCell">
    <xdr:from>
      <xdr:col>25</xdr:col>
      <xdr:colOff>200025</xdr:colOff>
      <xdr:row>83</xdr:row>
      <xdr:rowOff>60960</xdr:rowOff>
    </xdr:from>
    <xdr:to>
      <xdr:col>25</xdr:col>
      <xdr:colOff>457200</xdr:colOff>
      <xdr:row>84</xdr:row>
      <xdr:rowOff>114300</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a:stretch>
          <a:fillRect/>
        </a:stretch>
      </xdr:blipFill>
      <xdr:spPr>
        <a:xfrm>
          <a:off x="10410825" y="3680460"/>
          <a:ext cx="257175" cy="243840"/>
        </a:xfrm>
        <a:prstGeom prst="rect">
          <a:avLst/>
        </a:prstGeom>
      </xdr:spPr>
    </xdr:pic>
    <xdr:clientData/>
  </xdr:twoCellAnchor>
  <xdr:twoCellAnchor editAs="oneCell">
    <xdr:from>
      <xdr:col>1</xdr:col>
      <xdr:colOff>66675</xdr:colOff>
      <xdr:row>0</xdr:row>
      <xdr:rowOff>76200</xdr:rowOff>
    </xdr:from>
    <xdr:to>
      <xdr:col>1</xdr:col>
      <xdr:colOff>895221</xdr:colOff>
      <xdr:row>2</xdr:row>
      <xdr:rowOff>110490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19125" y="76200"/>
          <a:ext cx="832356" cy="41148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8964</xdr:colOff>
      <xdr:row>4</xdr:row>
      <xdr:rowOff>89648</xdr:rowOff>
    </xdr:from>
    <xdr:to>
      <xdr:col>9</xdr:col>
      <xdr:colOff>878540</xdr:colOff>
      <xdr:row>6</xdr:row>
      <xdr:rowOff>152401</xdr:rowOff>
    </xdr:to>
    <xdr:sp macro="[0]!RectangleRoundedCorners1_Click" textlink="">
      <xdr:nvSpPr>
        <xdr:cNvPr id="2" name="Rectangle: Rounded Corners 1">
          <a:extLst>
            <a:ext uri="{FF2B5EF4-FFF2-40B4-BE49-F238E27FC236}">
              <a16:creationId xmlns:a16="http://schemas.microsoft.com/office/drawing/2014/main" id="{00000000-0008-0000-0200-000002000000}"/>
            </a:ext>
          </a:extLst>
        </xdr:cNvPr>
        <xdr:cNvSpPr/>
      </xdr:nvSpPr>
      <xdr:spPr>
        <a:xfrm>
          <a:off x="5576046" y="842683"/>
          <a:ext cx="3451412" cy="519953"/>
        </a:xfrm>
        <a:prstGeom prst="roundRect">
          <a:avLst/>
        </a:prstGeom>
        <a:solidFill>
          <a:srgbClr val="E5E6E2"/>
        </a:solidFill>
        <a:ln>
          <a:solidFill>
            <a:schemeClr val="bg1"/>
          </a:solid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latin typeface="Futura LT Pro Book" panose="020B0502020204020303" pitchFamily="34" charset="0"/>
            </a:rPr>
            <a:t>Show guideline differences</a:t>
          </a:r>
        </a:p>
      </xdr:txBody>
    </xdr:sp>
    <xdr:clientData/>
  </xdr:twoCellAnchor>
  <xdr:twoCellAnchor>
    <xdr:from>
      <xdr:col>9</xdr:col>
      <xdr:colOff>1147483</xdr:colOff>
      <xdr:row>4</xdr:row>
      <xdr:rowOff>17929</xdr:rowOff>
    </xdr:from>
    <xdr:to>
      <xdr:col>9</xdr:col>
      <xdr:colOff>3065930</xdr:colOff>
      <xdr:row>6</xdr:row>
      <xdr:rowOff>233082</xdr:rowOff>
    </xdr:to>
    <xdr:sp macro="[0]!Oval2_Click" textlink="">
      <xdr:nvSpPr>
        <xdr:cNvPr id="3" name="Oval 2">
          <a:extLst>
            <a:ext uri="{FF2B5EF4-FFF2-40B4-BE49-F238E27FC236}">
              <a16:creationId xmlns:a16="http://schemas.microsoft.com/office/drawing/2014/main" id="{00000000-0008-0000-0200-000003000000}"/>
            </a:ext>
          </a:extLst>
        </xdr:cNvPr>
        <xdr:cNvSpPr/>
      </xdr:nvSpPr>
      <xdr:spPr>
        <a:xfrm>
          <a:off x="9296401" y="770964"/>
          <a:ext cx="1918447" cy="672353"/>
        </a:xfrm>
        <a:prstGeom prst="ellipse">
          <a:avLst/>
        </a:prstGeom>
        <a:solidFill>
          <a:srgbClr val="00A39D"/>
        </a:solidFill>
        <a:ln>
          <a:solidFill>
            <a:schemeClr val="bg1">
              <a:alpha val="91000"/>
            </a:schemeClr>
          </a:solid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a:latin typeface="Futura LT Pro Book" panose="020B0502020204020303" pitchFamily="34" charset="0"/>
            </a:rPr>
            <a:t>Clear</a:t>
          </a:r>
        </a:p>
      </xdr:txBody>
    </xdr:sp>
    <xdr:clientData/>
  </xdr:twoCellAnchor>
  <xdr:twoCellAnchor>
    <xdr:from>
      <xdr:col>9</xdr:col>
      <xdr:colOff>3350559</xdr:colOff>
      <xdr:row>4</xdr:row>
      <xdr:rowOff>89647</xdr:rowOff>
    </xdr:from>
    <xdr:to>
      <xdr:col>10</xdr:col>
      <xdr:colOff>54909</xdr:colOff>
      <xdr:row>6</xdr:row>
      <xdr:rowOff>141194</xdr:rowOff>
    </xdr:to>
    <xdr:sp macro="[0]!Rectangle3_Click" textlink="">
      <xdr:nvSpPr>
        <xdr:cNvPr id="4" name="Rectangle 3">
          <a:extLst>
            <a:ext uri="{FF2B5EF4-FFF2-40B4-BE49-F238E27FC236}">
              <a16:creationId xmlns:a16="http://schemas.microsoft.com/office/drawing/2014/main" id="{00000000-0008-0000-0200-000004000000}"/>
            </a:ext>
          </a:extLst>
        </xdr:cNvPr>
        <xdr:cNvSpPr/>
      </xdr:nvSpPr>
      <xdr:spPr>
        <a:xfrm>
          <a:off x="11418794" y="851647"/>
          <a:ext cx="2419350" cy="533400"/>
        </a:xfrm>
        <a:prstGeom prst="rect">
          <a:avLst/>
        </a:prstGeom>
        <a:solidFill>
          <a:srgbClr val="F68A33"/>
        </a:solidFill>
        <a:ln>
          <a:solidFill>
            <a:schemeClr val="bg1"/>
          </a:solid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Futura PT Book" panose="020B0502020204020303" pitchFamily="34" charset="0"/>
            </a:rPr>
            <a:t>Show all Guidelines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533400</xdr:colOff>
      <xdr:row>0</xdr:row>
      <xdr:rowOff>0</xdr:rowOff>
    </xdr:from>
    <xdr:to>
      <xdr:col>0</xdr:col>
      <xdr:colOff>2993572</xdr:colOff>
      <xdr:row>1</xdr:row>
      <xdr:rowOff>204106</xdr:rowOff>
    </xdr:to>
    <xdr:sp macro="[0]!ArrowLeft1_Click" textlink="">
      <xdr:nvSpPr>
        <xdr:cNvPr id="2" name="Arrow: Left 1">
          <a:extLst>
            <a:ext uri="{FF2B5EF4-FFF2-40B4-BE49-F238E27FC236}">
              <a16:creationId xmlns:a16="http://schemas.microsoft.com/office/drawing/2014/main" id="{00000000-0008-0000-0400-000002000000}"/>
            </a:ext>
          </a:extLst>
        </xdr:cNvPr>
        <xdr:cNvSpPr/>
      </xdr:nvSpPr>
      <xdr:spPr>
        <a:xfrm>
          <a:off x="533400" y="0"/>
          <a:ext cx="2460172" cy="1088570"/>
        </a:xfrm>
        <a:prstGeom prst="leftArrow">
          <a:avLst/>
        </a:prstGeom>
        <a:solidFill>
          <a:srgbClr val="00A39D"/>
        </a:solidFill>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latin typeface="Futura LT Pro Book" panose="020B0502020204020303" pitchFamily="34" charset="0"/>
            </a:rPr>
            <a:t>Back to Jumbo Product Selection</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05F5A8B-E87D-4808-BF6E-671F65A11DDC}" name="Table2" displayName="Table2" ref="A1:G288" totalsRowShown="0" headerRowDxfId="8" dataDxfId="7">
  <autoFilter ref="A1:G288" xr:uid="{605F5A8B-E87D-4808-BF6E-671F65A11DDC}"/>
  <tableColumns count="7">
    <tableColumn id="1" xr3:uid="{26ED7985-66A1-4E09-A9AB-CC4E0B7855F5}" name="Category" dataDxfId="6"/>
    <tableColumn id="2" xr3:uid="{E33C69F9-0EC4-4FD6-96AE-AFA6E65F55AF}" name="Purple" dataDxfId="5"/>
    <tableColumn id="3" xr3:uid="{3C9AC587-48CB-4FAB-AF3F-6FAB715671B5}" name="Blue" dataDxfId="4"/>
    <tableColumn id="4" xr3:uid="{04FD62A6-5065-49AB-B7A4-F8702C6CDC31}" name="Green" dataDxfId="3"/>
    <tableColumn id="5" xr3:uid="{BB32FF8D-0855-4D4E-8F88-E5CC2FA3C736}" name="Pink" dataDxfId="2"/>
    <tableColumn id="6" xr3:uid="{F8ED3073-75D5-417F-BBE8-50819D0D2EFB}" name="Yellow" dataDxfId="1"/>
    <tableColumn id="7" xr3:uid="{7467BAC6-BB4A-4036-8364-505BA73E2D3E}" name="White" dataDxfId="0"/>
  </tableColumns>
  <tableStyleInfo name="TableStyleMedium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B642C-DE1F-44F8-AA48-CD784B8C28CC}">
  <sheetPr codeName="Sheet1">
    <pageSetUpPr autoPageBreaks="0"/>
  </sheetPr>
  <dimension ref="A1:XFC99"/>
  <sheetViews>
    <sheetView showGridLines="0" tabSelected="1" topLeftCell="A4" zoomScaleNormal="100" workbookViewId="0">
      <selection activeCell="C7" sqref="C7"/>
    </sheetView>
  </sheetViews>
  <sheetFormatPr defaultColWidth="9.5703125" defaultRowHeight="15" zeroHeight="1"/>
  <cols>
    <col min="1" max="1" width="8.28515625" bestFit="1" customWidth="1"/>
    <col min="2" max="2" width="84.5703125" style="16" bestFit="1" customWidth="1"/>
    <col min="3" max="3" width="26" customWidth="1"/>
    <col min="4" max="5" width="8.85546875" customWidth="1"/>
    <col min="6" max="6" width="16.5703125" customWidth="1"/>
    <col min="7" max="7" width="10.85546875" hidden="1" customWidth="1"/>
    <col min="8" max="8" width="12.5703125" hidden="1" customWidth="1"/>
    <col min="9" max="9" width="10.28515625" hidden="1" customWidth="1"/>
    <col min="10" max="10" width="11.7109375" hidden="1" customWidth="1"/>
    <col min="11" max="11" width="12.140625" hidden="1" customWidth="1"/>
    <col min="12" max="12" width="39.7109375" hidden="1" customWidth="1"/>
    <col min="13" max="25" width="8.85546875" hidden="1" customWidth="1"/>
    <col min="26" max="26" width="8.28515625" customWidth="1"/>
    <col min="27" max="16383" width="0" hidden="1" customWidth="1"/>
    <col min="16384" max="16384" width="8.5703125" hidden="1" customWidth="1"/>
  </cols>
  <sheetData>
    <row r="1" spans="2:23">
      <c r="B1" s="111" t="s">
        <v>201</v>
      </c>
      <c r="C1" s="112"/>
      <c r="D1" s="112"/>
      <c r="E1" s="112"/>
      <c r="F1" s="113"/>
    </row>
    <row r="2" spans="2:23">
      <c r="B2" s="114"/>
      <c r="C2" s="115"/>
      <c r="D2" s="115"/>
      <c r="E2" s="115"/>
      <c r="F2" s="116"/>
    </row>
    <row r="3" spans="2:23">
      <c r="B3" s="117"/>
      <c r="C3" s="118"/>
      <c r="D3" s="118"/>
      <c r="E3" s="118"/>
      <c r="F3" s="119"/>
      <c r="R3" t="s">
        <v>164</v>
      </c>
    </row>
    <row r="4" spans="2:23">
      <c r="B4" s="29"/>
      <c r="C4" s="30"/>
      <c r="D4" s="30"/>
      <c r="E4" s="30"/>
      <c r="F4" s="30"/>
      <c r="H4" s="17"/>
    </row>
    <row r="5" spans="2:23">
      <c r="B5" s="120" t="s">
        <v>199</v>
      </c>
      <c r="C5" s="121"/>
      <c r="D5" s="121"/>
      <c r="E5" s="121"/>
      <c r="F5" s="122"/>
      <c r="H5" t="s">
        <v>207</v>
      </c>
      <c r="I5" s="27">
        <v>0</v>
      </c>
      <c r="R5" t="s">
        <v>148</v>
      </c>
      <c r="S5" t="s">
        <v>149</v>
      </c>
      <c r="T5" t="s">
        <v>150</v>
      </c>
      <c r="U5" t="s">
        <v>151</v>
      </c>
      <c r="V5" t="s">
        <v>152</v>
      </c>
      <c r="W5" t="s">
        <v>153</v>
      </c>
    </row>
    <row r="6" spans="2:23">
      <c r="B6" s="123"/>
      <c r="C6" s="124"/>
      <c r="D6" s="125"/>
      <c r="E6" s="125"/>
      <c r="F6" s="126"/>
    </row>
    <row r="7" spans="2:23">
      <c r="B7" s="31" t="s">
        <v>426</v>
      </c>
      <c r="C7" s="93"/>
      <c r="D7" s="139" t="str">
        <f>IF(K8&gt;0,"Loan Amount:","")</f>
        <v/>
      </c>
      <c r="E7" s="139"/>
      <c r="F7" s="92" t="str">
        <f>IF(K8&gt;0,K8,"")</f>
        <v/>
      </c>
    </row>
    <row r="8" spans="2:23">
      <c r="B8" s="32" t="s">
        <v>335</v>
      </c>
      <c r="C8" s="44" t="s">
        <v>161</v>
      </c>
      <c r="D8" s="30"/>
      <c r="E8" s="30"/>
      <c r="F8" s="91"/>
      <c r="L8" s="17" t="s">
        <v>425</v>
      </c>
    </row>
    <row r="9" spans="2:23">
      <c r="B9" s="32" t="s">
        <v>163</v>
      </c>
      <c r="C9" s="44" t="s">
        <v>161</v>
      </c>
      <c r="D9" s="30"/>
      <c r="E9" s="30"/>
      <c r="F9" s="91"/>
      <c r="I9" t="s">
        <v>181</v>
      </c>
      <c r="N9" t="s">
        <v>165</v>
      </c>
      <c r="O9" s="27" t="b">
        <v>0</v>
      </c>
      <c r="P9" t="s">
        <v>173</v>
      </c>
    </row>
    <row r="10" spans="2:23">
      <c r="B10" s="32" t="s">
        <v>170</v>
      </c>
      <c r="C10" s="45"/>
      <c r="D10" s="30"/>
      <c r="E10" s="30"/>
      <c r="F10" s="91"/>
      <c r="I10" s="18">
        <f>C10</f>
        <v>0</v>
      </c>
      <c r="N10" t="s">
        <v>166</v>
      </c>
      <c r="O10" s="27" t="b">
        <v>0</v>
      </c>
    </row>
    <row r="11" spans="2:23">
      <c r="B11" s="32" t="s">
        <v>424</v>
      </c>
      <c r="C11" s="94"/>
      <c r="D11" s="30"/>
      <c r="E11" s="30"/>
      <c r="F11" s="91"/>
      <c r="I11" s="18"/>
      <c r="O11" s="27"/>
    </row>
    <row r="12" spans="2:23">
      <c r="B12" s="32" t="s">
        <v>334</v>
      </c>
      <c r="C12" s="44"/>
      <c r="D12" s="30"/>
      <c r="E12" s="30"/>
      <c r="F12" s="91"/>
      <c r="N12" t="s">
        <v>187</v>
      </c>
      <c r="O12" s="27" t="b">
        <v>0</v>
      </c>
    </row>
    <row r="13" spans="2:23">
      <c r="B13" s="32" t="s">
        <v>337</v>
      </c>
      <c r="C13" s="44"/>
      <c r="D13" s="30"/>
      <c r="E13" s="30"/>
      <c r="F13" s="91"/>
    </row>
    <row r="14" spans="2:23">
      <c r="B14" s="32" t="s">
        <v>336</v>
      </c>
      <c r="C14" s="44" t="s">
        <v>161</v>
      </c>
      <c r="D14" s="30"/>
      <c r="E14" s="30"/>
      <c r="F14" s="91"/>
      <c r="G14" s="17"/>
    </row>
    <row r="15" spans="2:23">
      <c r="B15" s="32" t="s">
        <v>183</v>
      </c>
      <c r="C15" s="46" t="s">
        <v>161</v>
      </c>
      <c r="D15" s="30"/>
      <c r="E15" s="30"/>
      <c r="F15" s="91"/>
    </row>
    <row r="16" spans="2:23" hidden="1">
      <c r="B16" s="127" t="s">
        <v>198</v>
      </c>
      <c r="C16" s="121"/>
      <c r="D16" s="121"/>
      <c r="E16" s="121"/>
      <c r="F16" s="122"/>
    </row>
    <row r="17" spans="2:16" hidden="1">
      <c r="B17" s="123"/>
      <c r="C17" s="124"/>
      <c r="D17" s="124"/>
      <c r="E17" s="124"/>
      <c r="F17" s="128"/>
    </row>
    <row r="18" spans="2:16" hidden="1">
      <c r="B18" s="34" t="s">
        <v>196</v>
      </c>
      <c r="C18" s="35" t="s">
        <v>161</v>
      </c>
      <c r="D18" s="30"/>
      <c r="E18" s="30"/>
      <c r="F18" s="30"/>
      <c r="N18" s="17"/>
    </row>
    <row r="19" spans="2:16" hidden="1">
      <c r="B19" s="29"/>
      <c r="C19" s="33"/>
      <c r="D19" s="30"/>
      <c r="E19" s="30"/>
      <c r="F19" s="30"/>
      <c r="N19" s="17"/>
    </row>
    <row r="20" spans="2:16" ht="30" hidden="1">
      <c r="B20" s="36" t="s">
        <v>333</v>
      </c>
      <c r="C20" s="37" t="s">
        <v>161</v>
      </c>
      <c r="D20" s="30"/>
      <c r="E20" s="30"/>
      <c r="F20" s="30"/>
      <c r="N20" s="17"/>
    </row>
    <row r="21" spans="2:16" hidden="1">
      <c r="B21" s="29"/>
      <c r="C21" s="33"/>
      <c r="D21" s="30"/>
      <c r="E21" s="30"/>
      <c r="F21" s="30"/>
    </row>
    <row r="22" spans="2:16" hidden="1">
      <c r="B22" s="32" t="s">
        <v>186</v>
      </c>
      <c r="C22" s="37" t="s">
        <v>161</v>
      </c>
      <c r="D22" s="38"/>
      <c r="E22" s="30"/>
      <c r="F22" s="30"/>
      <c r="G22" t="s">
        <v>180</v>
      </c>
      <c r="H22" s="16">
        <v>30</v>
      </c>
      <c r="I22" s="16">
        <v>60</v>
      </c>
      <c r="J22" s="16">
        <v>90</v>
      </c>
      <c r="K22" s="16" t="s">
        <v>174</v>
      </c>
    </row>
    <row r="23" spans="2:16" hidden="1">
      <c r="B23" s="29"/>
      <c r="C23" s="33"/>
      <c r="D23" s="30"/>
      <c r="E23" s="30"/>
      <c r="F23" s="30"/>
      <c r="G23" s="27">
        <v>0</v>
      </c>
      <c r="H23" s="27"/>
      <c r="I23" s="27"/>
      <c r="J23" s="27"/>
      <c r="K23" s="27"/>
    </row>
    <row r="24" spans="2:16" hidden="1">
      <c r="B24" s="29"/>
      <c r="C24" s="33"/>
      <c r="D24" s="30"/>
      <c r="E24" s="30"/>
      <c r="F24" s="30"/>
    </row>
    <row r="25" spans="2:16" hidden="1">
      <c r="B25" s="32" t="s">
        <v>206</v>
      </c>
      <c r="C25" s="37" t="s">
        <v>161</v>
      </c>
      <c r="D25" s="38"/>
      <c r="E25" s="30"/>
      <c r="F25" s="30"/>
      <c r="G25" t="s">
        <v>208</v>
      </c>
      <c r="H25" t="s">
        <v>84</v>
      </c>
      <c r="I25" t="s">
        <v>175</v>
      </c>
      <c r="J25" t="s">
        <v>176</v>
      </c>
      <c r="K25" t="s">
        <v>205</v>
      </c>
      <c r="P25" s="17"/>
    </row>
    <row r="26" spans="2:16" hidden="1">
      <c r="B26" s="32" t="s">
        <v>209</v>
      </c>
      <c r="C26" s="37" t="s">
        <v>161</v>
      </c>
      <c r="D26" s="38"/>
      <c r="E26" s="30"/>
      <c r="F26" s="30"/>
      <c r="G26" s="27">
        <v>0</v>
      </c>
      <c r="H26" s="27"/>
      <c r="I26" s="27"/>
      <c r="J26" s="27"/>
      <c r="K26" s="27"/>
    </row>
    <row r="27" spans="2:16" hidden="1">
      <c r="B27" s="29"/>
      <c r="C27" s="33"/>
      <c r="D27" s="30"/>
      <c r="E27" s="30"/>
      <c r="F27" s="30"/>
    </row>
    <row r="28" spans="2:16" hidden="1">
      <c r="B28" s="32" t="s">
        <v>197</v>
      </c>
      <c r="C28" s="37" t="s">
        <v>161</v>
      </c>
      <c r="D28" s="30"/>
      <c r="E28" s="30"/>
      <c r="F28" s="30"/>
    </row>
    <row r="29" spans="2:16" hidden="1">
      <c r="B29" s="29"/>
      <c r="C29" s="33"/>
      <c r="D29" s="30"/>
      <c r="E29" s="30"/>
      <c r="F29" s="30"/>
    </row>
    <row r="30" spans="2:16" hidden="1">
      <c r="B30" s="32" t="s">
        <v>167</v>
      </c>
      <c r="C30" s="37" t="s">
        <v>161</v>
      </c>
      <c r="D30" s="38"/>
      <c r="E30" s="30"/>
      <c r="F30" s="30"/>
      <c r="H30" t="s">
        <v>210</v>
      </c>
      <c r="I30" s="27">
        <v>0</v>
      </c>
    </row>
    <row r="31" spans="2:16" hidden="1">
      <c r="B31" s="29"/>
      <c r="C31" s="33"/>
      <c r="D31" s="30"/>
      <c r="E31" s="30"/>
      <c r="F31" s="30"/>
    </row>
    <row r="32" spans="2:16" hidden="1">
      <c r="B32" s="32" t="s">
        <v>427</v>
      </c>
      <c r="C32" s="37" t="s">
        <v>161</v>
      </c>
      <c r="D32" s="30"/>
      <c r="E32" s="30"/>
      <c r="F32" s="30"/>
      <c r="N32" s="17"/>
    </row>
    <row r="33" spans="2:14" hidden="1">
      <c r="B33" s="32" t="s">
        <v>338</v>
      </c>
      <c r="C33" s="37" t="s">
        <v>161</v>
      </c>
      <c r="D33" s="38"/>
      <c r="E33" s="30"/>
      <c r="F33" s="30"/>
    </row>
    <row r="34" spans="2:14" hidden="1">
      <c r="B34" s="29"/>
      <c r="C34" s="33"/>
      <c r="D34" s="30"/>
      <c r="E34" s="30"/>
      <c r="F34" s="30"/>
    </row>
    <row r="35" spans="2:14" hidden="1">
      <c r="B35" s="32" t="s">
        <v>339</v>
      </c>
      <c r="C35" s="37" t="s">
        <v>161</v>
      </c>
      <c r="D35" s="30"/>
      <c r="E35" s="30"/>
      <c r="F35" s="30"/>
      <c r="H35" t="s">
        <v>204</v>
      </c>
      <c r="I35" t="str">
        <f>IF(C35="Select One:","No","Yes")</f>
        <v>No</v>
      </c>
    </row>
    <row r="36" spans="2:14" hidden="1">
      <c r="B36" s="29"/>
      <c r="C36" s="30"/>
      <c r="D36" s="30"/>
      <c r="E36" s="30"/>
      <c r="F36" s="30"/>
    </row>
    <row r="37" spans="2:14" hidden="1">
      <c r="B37" s="32" t="s">
        <v>331</v>
      </c>
      <c r="C37" s="42" t="s">
        <v>161</v>
      </c>
      <c r="D37" s="30"/>
      <c r="E37" s="30"/>
      <c r="F37" s="30"/>
    </row>
    <row r="38" spans="2:14" hidden="1">
      <c r="B38" s="29"/>
      <c r="C38" s="30"/>
      <c r="D38" s="30"/>
      <c r="E38" s="30"/>
      <c r="F38" s="30"/>
      <c r="I38" t="s">
        <v>203</v>
      </c>
      <c r="J38" s="27">
        <v>0</v>
      </c>
    </row>
    <row r="39" spans="2:14" hidden="1">
      <c r="B39" s="39"/>
      <c r="C39" s="30"/>
      <c r="D39" s="30"/>
      <c r="E39" s="30"/>
      <c r="F39" s="30"/>
    </row>
    <row r="40" spans="2:14" ht="22.5" hidden="1" customHeight="1">
      <c r="B40" s="41"/>
      <c r="C40" s="41"/>
      <c r="D40" s="41"/>
      <c r="E40" s="41"/>
      <c r="F40" s="41"/>
      <c r="I40" t="s">
        <v>188</v>
      </c>
      <c r="L40" t="s">
        <v>211</v>
      </c>
      <c r="N40" t="s">
        <v>189</v>
      </c>
    </row>
    <row r="41" spans="2:14" ht="13.5" hidden="1" customHeight="1">
      <c r="B41" s="41"/>
      <c r="C41" s="41"/>
      <c r="D41" s="41"/>
      <c r="E41" s="41"/>
      <c r="F41" s="41"/>
      <c r="I41" t="s">
        <v>148</v>
      </c>
      <c r="J41" s="27">
        <v>0</v>
      </c>
      <c r="K41" s="27"/>
      <c r="L41" s="28"/>
      <c r="M41" s="27"/>
      <c r="N41" s="28"/>
    </row>
    <row r="42" spans="2:14" ht="15" hidden="1" customHeight="1">
      <c r="B42" s="130" t="s">
        <v>202</v>
      </c>
      <c r="C42" s="131"/>
      <c r="D42" s="131"/>
      <c r="E42" s="131"/>
      <c r="F42" s="132"/>
      <c r="I42" t="s">
        <v>149</v>
      </c>
      <c r="J42" s="27">
        <v>0</v>
      </c>
      <c r="K42" s="27"/>
      <c r="L42" s="28"/>
      <c r="M42" s="28"/>
      <c r="N42" s="28"/>
    </row>
    <row r="43" spans="2:14" ht="14.45" hidden="1" customHeight="1">
      <c r="B43" s="133"/>
      <c r="C43" s="134"/>
      <c r="D43" s="134"/>
      <c r="E43" s="134"/>
      <c r="F43" s="135"/>
      <c r="I43" t="s">
        <v>150</v>
      </c>
      <c r="J43" s="27">
        <v>0</v>
      </c>
      <c r="K43" s="27"/>
      <c r="L43" s="28"/>
      <c r="M43" s="27"/>
      <c r="N43" s="28"/>
    </row>
    <row r="44" spans="2:14" ht="30.75" hidden="1" customHeight="1">
      <c r="B44" s="136"/>
      <c r="C44" s="137"/>
      <c r="D44" s="137"/>
      <c r="E44" s="137"/>
      <c r="F44" s="138"/>
      <c r="I44" t="s">
        <v>151</v>
      </c>
      <c r="J44" s="27">
        <v>0</v>
      </c>
      <c r="K44" s="27"/>
      <c r="L44" s="28"/>
      <c r="M44" s="27"/>
      <c r="N44" s="28"/>
    </row>
    <row r="45" spans="2:14" ht="36" hidden="1" customHeight="1">
      <c r="B45" s="40" t="s">
        <v>190</v>
      </c>
      <c r="C45" s="43"/>
      <c r="D45" s="43"/>
      <c r="E45" s="43"/>
      <c r="F45" s="43"/>
      <c r="I45" t="s">
        <v>152</v>
      </c>
      <c r="J45" s="27">
        <v>0</v>
      </c>
      <c r="K45" s="27"/>
      <c r="L45" s="28"/>
      <c r="M45" s="27"/>
      <c r="N45" s="28"/>
    </row>
    <row r="46" spans="2:14" ht="15.6" hidden="1" customHeight="1">
      <c r="B46" s="102"/>
      <c r="C46" s="103"/>
      <c r="D46" s="103"/>
      <c r="E46" s="103"/>
      <c r="F46" s="104"/>
      <c r="I46" t="s">
        <v>153</v>
      </c>
      <c r="J46" s="27">
        <v>0</v>
      </c>
      <c r="K46" s="27"/>
      <c r="L46" s="28"/>
      <c r="M46" s="27"/>
      <c r="N46" s="28"/>
    </row>
    <row r="47" spans="2:14" hidden="1">
      <c r="B47" s="105"/>
      <c r="C47" s="106"/>
      <c r="D47" s="106"/>
      <c r="E47" s="106"/>
      <c r="F47" s="107"/>
    </row>
    <row r="48" spans="2:14" ht="18.600000000000001" hidden="1" customHeight="1">
      <c r="B48" s="105"/>
      <c r="C48" s="106"/>
      <c r="D48" s="106"/>
      <c r="E48" s="106"/>
      <c r="F48" s="107"/>
    </row>
    <row r="49" spans="2:7" ht="14.45" hidden="1" customHeight="1">
      <c r="B49" s="129"/>
      <c r="C49" s="109"/>
      <c r="D49" s="109"/>
      <c r="E49" s="109"/>
      <c r="F49" s="110"/>
    </row>
    <row r="50" spans="2:7" hidden="1">
      <c r="B50" s="43"/>
      <c r="C50" s="43"/>
      <c r="D50" s="43"/>
      <c r="E50" s="43"/>
      <c r="F50" s="43"/>
    </row>
    <row r="51" spans="2:7" ht="19.5" hidden="1">
      <c r="B51" s="40" t="s">
        <v>191</v>
      </c>
      <c r="C51" s="43"/>
      <c r="D51" s="43"/>
      <c r="E51" s="43"/>
      <c r="F51" s="43"/>
    </row>
    <row r="52" spans="2:7" hidden="1">
      <c r="B52" s="102"/>
      <c r="C52" s="103"/>
      <c r="D52" s="103"/>
      <c r="E52" s="103"/>
      <c r="F52" s="104"/>
    </row>
    <row r="53" spans="2:7" hidden="1">
      <c r="B53" s="105"/>
      <c r="C53" s="106"/>
      <c r="D53" s="106"/>
      <c r="E53" s="106"/>
      <c r="F53" s="107"/>
    </row>
    <row r="54" spans="2:7" ht="18.600000000000001" hidden="1" customHeight="1">
      <c r="B54" s="105"/>
      <c r="C54" s="106"/>
      <c r="D54" s="106"/>
      <c r="E54" s="106"/>
      <c r="F54" s="107"/>
    </row>
    <row r="55" spans="2:7" ht="30" hidden="1" customHeight="1">
      <c r="B55" s="129"/>
      <c r="C55" s="109"/>
      <c r="D55" s="109"/>
      <c r="E55" s="109"/>
      <c r="F55" s="110"/>
    </row>
    <row r="56" spans="2:7" hidden="1">
      <c r="B56" s="43"/>
      <c r="C56" s="43"/>
      <c r="D56" s="43"/>
      <c r="E56" s="43"/>
      <c r="F56" s="43"/>
      <c r="G56" s="17"/>
    </row>
    <row r="57" spans="2:7" ht="19.5" hidden="1">
      <c r="B57" s="40" t="s">
        <v>192</v>
      </c>
      <c r="C57" s="43"/>
      <c r="D57" s="43"/>
      <c r="E57" s="43"/>
      <c r="F57" s="43"/>
    </row>
    <row r="58" spans="2:7" hidden="1">
      <c r="B58" s="102"/>
      <c r="C58" s="103"/>
      <c r="D58" s="103"/>
      <c r="E58" s="103"/>
      <c r="F58" s="104"/>
      <c r="G58" s="17"/>
    </row>
    <row r="59" spans="2:7" hidden="1">
      <c r="B59" s="105"/>
      <c r="C59" s="106"/>
      <c r="D59" s="106"/>
      <c r="E59" s="106"/>
      <c r="F59" s="107"/>
    </row>
    <row r="60" spans="2:7" ht="18.600000000000001" hidden="1" customHeight="1">
      <c r="B60" s="105"/>
      <c r="C60" s="106"/>
      <c r="D60" s="106"/>
      <c r="E60" s="106"/>
      <c r="F60" s="107"/>
      <c r="G60" s="17"/>
    </row>
    <row r="61" spans="2:7" ht="30" hidden="1" customHeight="1">
      <c r="B61" s="129"/>
      <c r="C61" s="109"/>
      <c r="D61" s="109"/>
      <c r="E61" s="109"/>
      <c r="F61" s="110"/>
    </row>
    <row r="62" spans="2:7" hidden="1">
      <c r="B62" s="43"/>
      <c r="C62" s="43"/>
      <c r="D62" s="43"/>
      <c r="E62" s="43"/>
      <c r="F62" s="43"/>
    </row>
    <row r="63" spans="2:7" ht="19.5" hidden="1">
      <c r="B63" s="40" t="s">
        <v>193</v>
      </c>
      <c r="C63" s="43"/>
      <c r="D63" s="43"/>
      <c r="E63" s="43"/>
      <c r="F63" s="43"/>
    </row>
    <row r="64" spans="2:7" hidden="1">
      <c r="B64" s="102"/>
      <c r="C64" s="103"/>
      <c r="D64" s="103"/>
      <c r="E64" s="103"/>
      <c r="F64" s="104"/>
    </row>
    <row r="65" spans="2:9" hidden="1">
      <c r="B65" s="105"/>
      <c r="C65" s="106"/>
      <c r="D65" s="106"/>
      <c r="E65" s="106"/>
      <c r="F65" s="107"/>
    </row>
    <row r="66" spans="2:9" ht="18.600000000000001" hidden="1" customHeight="1">
      <c r="B66" s="105"/>
      <c r="C66" s="106"/>
      <c r="D66" s="106"/>
      <c r="E66" s="106"/>
      <c r="F66" s="107"/>
    </row>
    <row r="67" spans="2:9" ht="30" hidden="1" customHeight="1">
      <c r="B67" s="129"/>
      <c r="C67" s="109"/>
      <c r="D67" s="109"/>
      <c r="E67" s="109"/>
      <c r="F67" s="110"/>
      <c r="I67" s="22"/>
    </row>
    <row r="68" spans="2:9" hidden="1">
      <c r="B68" s="43"/>
      <c r="C68" s="43"/>
      <c r="D68" s="43"/>
      <c r="E68" s="43"/>
      <c r="F68" s="43"/>
    </row>
    <row r="69" spans="2:9" ht="19.5" hidden="1">
      <c r="B69" s="40" t="s">
        <v>194</v>
      </c>
      <c r="C69" s="43"/>
      <c r="D69" s="43"/>
      <c r="E69" s="43"/>
      <c r="F69" s="43"/>
    </row>
    <row r="70" spans="2:9" hidden="1">
      <c r="B70" s="102"/>
      <c r="C70" s="103"/>
      <c r="D70" s="103"/>
      <c r="E70" s="103"/>
      <c r="F70" s="104"/>
    </row>
    <row r="71" spans="2:9" hidden="1">
      <c r="B71" s="105"/>
      <c r="C71" s="106"/>
      <c r="D71" s="106"/>
      <c r="E71" s="106"/>
      <c r="F71" s="107"/>
    </row>
    <row r="72" spans="2:9" ht="18.600000000000001" hidden="1" customHeight="1">
      <c r="B72" s="105"/>
      <c r="C72" s="106"/>
      <c r="D72" s="106"/>
      <c r="E72" s="106"/>
      <c r="F72" s="107"/>
    </row>
    <row r="73" spans="2:9" ht="30" hidden="1" customHeight="1">
      <c r="B73" s="129"/>
      <c r="C73" s="109"/>
      <c r="D73" s="109"/>
      <c r="E73" s="109"/>
      <c r="F73" s="110"/>
    </row>
    <row r="74" spans="2:9" hidden="1">
      <c r="B74" s="43"/>
      <c r="C74" s="43"/>
      <c r="D74" s="43"/>
      <c r="E74" s="43"/>
      <c r="F74" s="43"/>
    </row>
    <row r="75" spans="2:9" ht="19.5" hidden="1">
      <c r="B75" s="40" t="s">
        <v>195</v>
      </c>
      <c r="C75" s="43"/>
      <c r="D75" s="43"/>
      <c r="E75" s="43"/>
      <c r="F75" s="43"/>
    </row>
    <row r="76" spans="2:9" hidden="1">
      <c r="B76" s="102"/>
      <c r="C76" s="103"/>
      <c r="D76" s="103"/>
      <c r="E76" s="103"/>
      <c r="F76" s="104"/>
    </row>
    <row r="77" spans="2:9" hidden="1">
      <c r="B77" s="105"/>
      <c r="C77" s="106"/>
      <c r="D77" s="106"/>
      <c r="E77" s="106"/>
      <c r="F77" s="107"/>
    </row>
    <row r="78" spans="2:9" ht="15" hidden="1" customHeight="1">
      <c r="B78" s="105"/>
      <c r="C78" s="106"/>
      <c r="D78" s="106"/>
      <c r="E78" s="106"/>
      <c r="F78" s="107"/>
    </row>
    <row r="79" spans="2:9" hidden="1">
      <c r="B79" s="108"/>
      <c r="C79" s="109"/>
      <c r="D79" s="109"/>
      <c r="E79" s="109"/>
      <c r="F79" s="110"/>
    </row>
    <row r="80" spans="2:9" hidden="1">
      <c r="C80" s="21"/>
      <c r="D80" s="21"/>
      <c r="E80" s="21"/>
      <c r="F80" s="21"/>
    </row>
    <row r="81" spans="1:26">
      <c r="C81" s="21"/>
      <c r="D81" s="21"/>
      <c r="E81" s="21"/>
      <c r="F81" s="21"/>
    </row>
    <row r="82" spans="1:26">
      <c r="A82" s="101"/>
      <c r="B82" s="101"/>
      <c r="C82" s="101"/>
      <c r="D82" s="101"/>
      <c r="E82" s="101"/>
      <c r="F82" s="101"/>
      <c r="G82" s="101"/>
      <c r="H82" s="101"/>
      <c r="I82" s="101"/>
      <c r="J82" s="101"/>
      <c r="K82" s="101"/>
      <c r="L82" s="101"/>
      <c r="M82" s="101"/>
      <c r="N82" s="101"/>
      <c r="O82" s="101"/>
      <c r="P82" s="101"/>
      <c r="Q82" s="101"/>
      <c r="R82" s="101"/>
      <c r="S82" s="101"/>
      <c r="T82" s="101"/>
      <c r="U82" s="101"/>
      <c r="V82" s="101"/>
      <c r="W82" s="101"/>
      <c r="X82" s="101"/>
      <c r="Y82" s="101"/>
      <c r="Z82" s="101"/>
    </row>
    <row r="83" spans="1:26" hidden="1">
      <c r="C83" s="21"/>
      <c r="D83" s="21"/>
      <c r="E83" s="21"/>
      <c r="F83" s="21"/>
    </row>
    <row r="84" spans="1:26">
      <c r="A84" s="100" t="s">
        <v>356</v>
      </c>
      <c r="B84" s="99" t="s">
        <v>355</v>
      </c>
      <c r="C84" s="99"/>
      <c r="D84" s="99"/>
      <c r="E84" s="99"/>
      <c r="F84" s="99"/>
      <c r="G84" s="99"/>
      <c r="H84" s="99"/>
      <c r="I84" s="99"/>
      <c r="J84" s="99"/>
      <c r="K84" s="99"/>
      <c r="L84" s="99"/>
      <c r="M84" s="99"/>
      <c r="N84" s="99"/>
      <c r="O84" s="99"/>
      <c r="P84" s="99"/>
      <c r="Q84" s="99"/>
      <c r="R84" s="99"/>
      <c r="S84" s="99"/>
      <c r="T84" s="99"/>
      <c r="U84" s="99"/>
      <c r="V84" s="99"/>
      <c r="W84" s="99"/>
      <c r="X84" s="99"/>
      <c r="Y84" s="99"/>
      <c r="Z84" s="99"/>
    </row>
    <row r="85" spans="1:26">
      <c r="A85" s="100"/>
      <c r="B85" s="99"/>
      <c r="C85" s="99"/>
      <c r="D85" s="99"/>
      <c r="E85" s="99"/>
      <c r="F85" s="99"/>
      <c r="G85" s="99"/>
      <c r="H85" s="99"/>
      <c r="I85" s="99"/>
      <c r="J85" s="99"/>
      <c r="K85" s="99"/>
      <c r="L85" s="99"/>
      <c r="M85" s="99"/>
      <c r="N85" s="99"/>
      <c r="O85" s="99"/>
      <c r="P85" s="99"/>
      <c r="Q85" s="99"/>
      <c r="R85" s="99"/>
      <c r="S85" s="99"/>
      <c r="T85" s="99"/>
      <c r="U85" s="99"/>
      <c r="V85" s="99"/>
      <c r="W85" s="99"/>
      <c r="X85" s="99"/>
      <c r="Y85" s="99"/>
      <c r="Z85" s="99"/>
    </row>
    <row r="87" spans="1:26" hidden="1">
      <c r="C87" s="21"/>
      <c r="D87" s="21"/>
      <c r="E87" s="21"/>
      <c r="F87" s="21"/>
    </row>
    <row r="88" spans="1:26" hidden="1">
      <c r="C88" s="21"/>
      <c r="D88" s="21"/>
      <c r="E88" s="21"/>
      <c r="F88" s="21"/>
    </row>
    <row r="89" spans="1:26" hidden="1">
      <c r="C89" s="21"/>
      <c r="D89" s="21"/>
      <c r="E89" s="21"/>
      <c r="F89" s="21"/>
    </row>
    <row r="90" spans="1:26" hidden="1">
      <c r="C90" s="21"/>
      <c r="D90" s="21"/>
      <c r="E90" s="21"/>
      <c r="F90" s="21"/>
    </row>
    <row r="91" spans="1:26" hidden="1">
      <c r="C91" s="21"/>
      <c r="D91" s="21"/>
      <c r="E91" s="21"/>
      <c r="F91" s="21"/>
    </row>
    <row r="92" spans="1:26" hidden="1">
      <c r="C92" s="21"/>
      <c r="D92" s="21"/>
      <c r="E92" s="21"/>
      <c r="F92" s="21"/>
    </row>
    <row r="94" spans="1:26" hidden="1">
      <c r="C94" s="20"/>
      <c r="D94" s="21"/>
      <c r="E94" s="21"/>
      <c r="F94" s="21"/>
    </row>
    <row r="95" spans="1:26" hidden="1">
      <c r="C95" s="21"/>
      <c r="D95" s="21"/>
      <c r="E95" s="21"/>
      <c r="F95" s="21"/>
    </row>
    <row r="96" spans="1:26" hidden="1">
      <c r="C96" s="21"/>
      <c r="D96" s="21"/>
      <c r="E96" s="21"/>
      <c r="F96" s="21"/>
    </row>
    <row r="97" spans="3:6" hidden="1">
      <c r="C97" s="21"/>
      <c r="D97" s="21"/>
      <c r="E97" s="21"/>
      <c r="F97" s="21"/>
    </row>
    <row r="98" spans="3:6" hidden="1">
      <c r="C98" s="21"/>
      <c r="D98" s="21"/>
      <c r="E98" s="21"/>
      <c r="F98" s="21"/>
    </row>
    <row r="99" spans="3:6" hidden="1">
      <c r="C99" s="21"/>
      <c r="D99" s="21"/>
      <c r="E99" s="21"/>
      <c r="F99" s="21"/>
    </row>
  </sheetData>
  <sheetProtection algorithmName="SHA-512" hashValue="r36vXGuEEW83yvhDzYkaYxVRZcEDZDxH5IrIExP6+IECNfTHAs/z+nkQMCM6cRYrJmuOHYUGE265tQICcDuIEg==" saltValue="ubomvdKfqY9TGbcNo9+OxQ==" spinCount="100000" sheet="1" objects="1" scenarios="1" formatRows="0" selectLockedCells="1"/>
  <mergeCells count="14">
    <mergeCell ref="B84:Z85"/>
    <mergeCell ref="A84:A85"/>
    <mergeCell ref="A82:Z82"/>
    <mergeCell ref="B76:F79"/>
    <mergeCell ref="B1:F3"/>
    <mergeCell ref="B5:F6"/>
    <mergeCell ref="B16:F17"/>
    <mergeCell ref="B70:F73"/>
    <mergeCell ref="B46:F49"/>
    <mergeCell ref="B52:F55"/>
    <mergeCell ref="B58:F61"/>
    <mergeCell ref="B64:F67"/>
    <mergeCell ref="B42:F44"/>
    <mergeCell ref="D7:E7"/>
  </mergeCells>
  <dataValidations count="2">
    <dataValidation type="whole" allowBlank="1" showInputMessage="1" showErrorMessage="1" errorTitle="Financed Properties" error="Only input whole numbers for financed properties " sqref="C12" xr:uid="{1DCCD014-6B45-4C2D-8873-544C37606B92}">
      <formula1>0</formula1>
      <formula2>100</formula2>
    </dataValidation>
    <dataValidation type="whole" allowBlank="1" showInputMessage="1" showErrorMessage="1" errorTitle="Reserves" error="Only input reserves in whole numbers representing the number of months" sqref="C13" xr:uid="{84FDAF6C-52E0-4782-BA99-30E8263B0E4D}">
      <formula1>0</formula1>
      <formula2>200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Check Box 1">
              <controlPr locked="0" defaultSize="0" autoFill="0" autoLine="0" autoPict="0">
                <anchor moveWithCells="1">
                  <from>
                    <xdr:col>3</xdr:col>
                    <xdr:colOff>247650</xdr:colOff>
                    <xdr:row>7</xdr:row>
                    <xdr:rowOff>95250</xdr:rowOff>
                  </from>
                  <to>
                    <xdr:col>5</xdr:col>
                    <xdr:colOff>590550</xdr:colOff>
                    <xdr:row>9</xdr:row>
                    <xdr:rowOff>114300</xdr:rowOff>
                  </to>
                </anchor>
              </controlPr>
            </control>
          </mc:Choice>
        </mc:AlternateContent>
        <mc:AlternateContent xmlns:mc="http://schemas.openxmlformats.org/markup-compatibility/2006">
          <mc:Choice Requires="x14">
            <control shapeId="3084" r:id="rId5" name="Check Box 12">
              <controlPr locked="0" defaultSize="0" autoFill="0" autoLine="0" autoPict="0">
                <anchor moveWithCells="1">
                  <from>
                    <xdr:col>3</xdr:col>
                    <xdr:colOff>247650</xdr:colOff>
                    <xdr:row>9</xdr:row>
                    <xdr:rowOff>19050</xdr:rowOff>
                  </from>
                  <to>
                    <xdr:col>5</xdr:col>
                    <xdr:colOff>304800</xdr:colOff>
                    <xdr:row>10</xdr:row>
                    <xdr:rowOff>133350</xdr:rowOff>
                  </to>
                </anchor>
              </controlPr>
            </control>
          </mc:Choice>
        </mc:AlternateContent>
        <mc:AlternateContent xmlns:mc="http://schemas.openxmlformats.org/markup-compatibility/2006">
          <mc:Choice Requires="x14">
            <control shapeId="3074" r:id="rId6" name="Check Box 2">
              <controlPr locked="0" defaultSize="0" autoFill="0" autoLine="0" autoPict="0">
                <anchor moveWithCells="1">
                  <from>
                    <xdr:col>3</xdr:col>
                    <xdr:colOff>238125</xdr:colOff>
                    <xdr:row>10</xdr:row>
                    <xdr:rowOff>0</xdr:rowOff>
                  </from>
                  <to>
                    <xdr:col>5</xdr:col>
                    <xdr:colOff>581025</xdr:colOff>
                    <xdr:row>12</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F1B081CB-05F6-4BD6-8772-59526618EB6A}">
          <x14:formula1>
            <xm:f>Lists!$A$1:$A$3</xm:f>
          </x14:formula1>
          <xm:sqref>C18:C20 C22 C25 C37 C35 C15</xm:sqref>
        </x14:dataValidation>
        <x14:dataValidation type="list" allowBlank="1" showInputMessage="1" showErrorMessage="1" xr:uid="{E72723F9-B3F8-4A18-94BC-B79D2D96F83C}">
          <x14:formula1>
            <xm:f>Lists!$C$1:$C$4</xm:f>
          </x14:formula1>
          <xm:sqref>C28 C30 C33</xm:sqref>
        </x14:dataValidation>
        <x14:dataValidation type="list" allowBlank="1" showInputMessage="1" showErrorMessage="1" xr:uid="{4EE9E125-B6DB-4923-A5B2-356FA3DE44AC}">
          <x14:formula1>
            <xm:f>Lists!$G$1:$G$4</xm:f>
          </x14:formula1>
          <xm:sqref>C8</xm:sqref>
        </x14:dataValidation>
        <x14:dataValidation type="list" allowBlank="1" showInputMessage="1" showErrorMessage="1" xr:uid="{3427B672-6D14-4ED7-AA37-5EEB48BF7F81}">
          <x14:formula1>
            <xm:f>Lists!$I$1:$I$6</xm:f>
          </x14:formula1>
          <xm:sqref>C26</xm:sqref>
        </x14:dataValidation>
        <x14:dataValidation type="list" allowBlank="1" showInputMessage="1" showErrorMessage="1" xr:uid="{27465029-B357-48A8-BD08-1C16B4B4D5F3}">
          <x14:formula1>
            <xm:f>Lists!$E$1:$E$4</xm:f>
          </x14:formula1>
          <xm:sqref>C9</xm:sqref>
        </x14:dataValidation>
        <x14:dataValidation type="list" allowBlank="1" showInputMessage="1" showErrorMessage="1" xr:uid="{8A654379-E429-423F-B227-E949697A74B0}">
          <x14:formula1>
            <xm:f>Lists!$K$1:$K$4</xm:f>
          </x14:formula1>
          <xm:sqref>C14</xm:sqref>
        </x14:dataValidation>
        <x14:dataValidation type="list" allowBlank="1" showInputMessage="1" showErrorMessage="1" xr:uid="{207EC69B-3CCB-4889-B99C-DFAC4D80EA70}">
          <x14:formula1>
            <xm:f>Lists!$N$1:$N$4</xm:f>
          </x14:formula1>
          <xm:sqref>C32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60D8F-35CF-46BB-BCAB-4FCA0E03526C}">
  <sheetPr codeName="Sheet2"/>
  <dimension ref="A1:V181"/>
  <sheetViews>
    <sheetView showGridLines="0" showRowColHeaders="0" zoomScale="85" zoomScaleNormal="85" workbookViewId="0">
      <selection activeCell="C6" sqref="C6"/>
    </sheetView>
  </sheetViews>
  <sheetFormatPr defaultColWidth="0" defaultRowHeight="15" zeroHeight="1"/>
  <cols>
    <col min="1" max="1" width="9.140625" style="13" customWidth="1"/>
    <col min="2" max="2" width="39.140625" style="13" customWidth="1"/>
    <col min="3" max="3" width="26" style="13" customWidth="1"/>
    <col min="4" max="4" width="9.140625" style="13" customWidth="1"/>
    <col min="5" max="8" width="0" style="13" hidden="1" customWidth="1"/>
    <col min="9" max="9" width="37.7109375" style="14" customWidth="1"/>
    <col min="10" max="11" width="85.7109375" style="15" customWidth="1"/>
    <col min="12" max="13" width="9.140625" style="13" customWidth="1"/>
    <col min="14" max="14" width="9.140625" style="13" hidden="1" customWidth="1"/>
    <col min="15" max="22" width="0" style="13" hidden="1" customWidth="1"/>
    <col min="23" max="16384" width="9.140625" style="13" hidden="1"/>
  </cols>
  <sheetData>
    <row r="1" spans="1:22" s="30" customFormat="1" ht="15" customHeight="1">
      <c r="A1" s="140" t="s">
        <v>302</v>
      </c>
      <c r="B1" s="141"/>
      <c r="C1" s="141"/>
      <c r="D1" s="141"/>
      <c r="E1" s="141"/>
      <c r="F1" s="141"/>
      <c r="G1" s="141"/>
      <c r="H1" s="141"/>
      <c r="I1" s="141"/>
      <c r="J1" s="141"/>
      <c r="K1" s="142"/>
      <c r="L1" s="149"/>
      <c r="M1" s="150"/>
    </row>
    <row r="2" spans="1:22" s="30" customFormat="1" ht="15" customHeight="1">
      <c r="A2" s="143"/>
      <c r="B2" s="144"/>
      <c r="C2" s="144"/>
      <c r="D2" s="144"/>
      <c r="E2" s="144"/>
      <c r="F2" s="144"/>
      <c r="G2" s="144"/>
      <c r="H2" s="144"/>
      <c r="I2" s="144"/>
      <c r="J2" s="144"/>
      <c r="K2" s="145"/>
      <c r="L2" s="149"/>
      <c r="M2" s="150"/>
    </row>
    <row r="3" spans="1:22" s="30" customFormat="1" ht="15" customHeight="1">
      <c r="A3" s="143"/>
      <c r="B3" s="144"/>
      <c r="C3" s="144"/>
      <c r="D3" s="144"/>
      <c r="E3" s="144"/>
      <c r="F3" s="144"/>
      <c r="G3" s="144"/>
      <c r="H3" s="144"/>
      <c r="I3" s="144"/>
      <c r="J3" s="144"/>
      <c r="K3" s="145"/>
      <c r="L3" s="149"/>
      <c r="M3" s="150"/>
    </row>
    <row r="4" spans="1:22" s="30" customFormat="1" ht="15" customHeight="1">
      <c r="A4" s="146"/>
      <c r="B4" s="147"/>
      <c r="C4" s="147"/>
      <c r="D4" s="147"/>
      <c r="E4" s="147"/>
      <c r="F4" s="147"/>
      <c r="G4" s="147"/>
      <c r="H4" s="147"/>
      <c r="I4" s="147"/>
      <c r="J4" s="147"/>
      <c r="K4" s="148"/>
      <c r="L4" s="149"/>
      <c r="M4" s="150"/>
    </row>
    <row r="5" spans="1:22" s="30" customFormat="1">
      <c r="A5" s="152"/>
      <c r="B5" s="152"/>
      <c r="C5" s="152"/>
      <c r="D5" s="152"/>
      <c r="I5" s="152"/>
      <c r="J5" s="152"/>
      <c r="K5" s="152"/>
      <c r="L5" s="139"/>
      <c r="M5" s="139"/>
    </row>
    <row r="6" spans="1:22" s="30" customFormat="1" ht="22.5" customHeight="1">
      <c r="A6" s="139"/>
      <c r="B6" s="51" t="s">
        <v>275</v>
      </c>
      <c r="C6" s="58" t="s">
        <v>161</v>
      </c>
      <c r="D6" s="153"/>
      <c r="I6" s="139"/>
      <c r="J6" s="139"/>
      <c r="K6" s="139"/>
      <c r="L6" s="139"/>
      <c r="M6" s="139"/>
    </row>
    <row r="7" spans="1:22" s="30" customFormat="1" ht="22.5" customHeight="1">
      <c r="A7" s="139"/>
      <c r="B7" s="51" t="s">
        <v>214</v>
      </c>
      <c r="C7" s="58" t="s">
        <v>161</v>
      </c>
      <c r="D7" s="153"/>
      <c r="I7" s="154"/>
      <c r="J7" s="154"/>
      <c r="K7" s="154"/>
      <c r="L7" s="139"/>
      <c r="M7" s="139"/>
    </row>
    <row r="8" spans="1:22" s="30" customFormat="1" ht="33" customHeight="1">
      <c r="A8" s="139"/>
      <c r="B8" s="139"/>
      <c r="C8" s="139"/>
      <c r="D8" s="139"/>
      <c r="I8" s="59" t="s">
        <v>154</v>
      </c>
      <c r="J8" s="60" t="str">
        <f>IF(C7="Select One:","",C6 &amp; " Guidance:")</f>
        <v/>
      </c>
      <c r="K8" s="60" t="str">
        <f>IF(C6="Select One:","",C7 &amp; " Guidance:")</f>
        <v/>
      </c>
      <c r="L8" s="139"/>
      <c r="M8" s="139"/>
    </row>
    <row r="9" spans="1:22" s="30" customFormat="1">
      <c r="A9" s="139"/>
      <c r="B9" s="139"/>
      <c r="C9" s="139"/>
      <c r="D9" s="139"/>
      <c r="I9" s="96"/>
      <c r="J9" s="97"/>
      <c r="K9" s="97"/>
      <c r="L9" s="139"/>
      <c r="M9" s="139"/>
      <c r="N9" s="61"/>
      <c r="O9" s="61"/>
      <c r="P9" s="61"/>
      <c r="Q9" s="61"/>
      <c r="R9" s="61"/>
      <c r="S9" s="61"/>
      <c r="T9" s="61"/>
      <c r="U9" s="61"/>
      <c r="V9" s="61"/>
    </row>
    <row r="10" spans="1:22" s="30" customFormat="1">
      <c r="A10" s="139"/>
      <c r="B10" s="139"/>
      <c r="C10" s="139"/>
      <c r="D10" s="139"/>
      <c r="I10" s="96"/>
      <c r="J10" s="90"/>
      <c r="K10" s="90"/>
      <c r="L10" s="139"/>
      <c r="M10" s="139"/>
      <c r="N10" s="61"/>
      <c r="O10" s="61"/>
      <c r="P10" s="61"/>
      <c r="Q10" s="61"/>
      <c r="R10" s="61"/>
      <c r="S10" s="61"/>
      <c r="T10" s="61"/>
      <c r="U10" s="61"/>
      <c r="V10" s="61"/>
    </row>
    <row r="11" spans="1:22" s="30" customFormat="1" hidden="1">
      <c r="A11" s="139"/>
      <c r="B11" s="139"/>
      <c r="C11" s="139"/>
      <c r="D11" s="139"/>
      <c r="I11" s="96"/>
      <c r="J11" s="97"/>
      <c r="K11" s="97"/>
      <c r="L11" s="139"/>
      <c r="M11" s="139"/>
      <c r="N11" s="61"/>
      <c r="O11" s="61"/>
      <c r="P11" s="61"/>
      <c r="Q11" s="61"/>
      <c r="R11" s="61"/>
      <c r="S11" s="61"/>
      <c r="T11" s="61"/>
      <c r="U11" s="61"/>
      <c r="V11" s="61"/>
    </row>
    <row r="12" spans="1:22" s="30" customFormat="1" hidden="1">
      <c r="A12" s="139"/>
      <c r="B12" s="139"/>
      <c r="C12" s="139"/>
      <c r="D12" s="139"/>
      <c r="I12" s="96"/>
      <c r="J12" s="97"/>
      <c r="K12" s="97"/>
      <c r="L12" s="139"/>
      <c r="M12" s="139"/>
      <c r="N12" s="61"/>
      <c r="O12" s="61"/>
      <c r="P12" s="61"/>
      <c r="Q12" s="61"/>
      <c r="R12" s="61"/>
      <c r="S12" s="61"/>
      <c r="T12" s="61"/>
      <c r="U12" s="61"/>
      <c r="V12" s="61"/>
    </row>
    <row r="13" spans="1:22" s="30" customFormat="1" hidden="1">
      <c r="A13" s="139"/>
      <c r="B13" s="139"/>
      <c r="C13" s="139"/>
      <c r="D13" s="139"/>
      <c r="I13" s="96"/>
      <c r="J13" s="97"/>
      <c r="K13" s="97"/>
      <c r="L13" s="139"/>
      <c r="M13" s="139"/>
      <c r="N13" s="61"/>
      <c r="O13" s="61"/>
      <c r="P13" s="61"/>
      <c r="Q13" s="61"/>
      <c r="R13" s="61"/>
      <c r="S13" s="61"/>
      <c r="T13" s="61"/>
      <c r="U13" s="61"/>
      <c r="V13" s="61"/>
    </row>
    <row r="14" spans="1:22" s="30" customFormat="1" hidden="1">
      <c r="A14" s="139"/>
      <c r="B14" s="139"/>
      <c r="C14" s="139"/>
      <c r="D14" s="139"/>
      <c r="I14" s="96"/>
      <c r="J14" s="97"/>
      <c r="K14" s="97"/>
      <c r="L14" s="139"/>
      <c r="M14" s="139"/>
      <c r="N14" s="61"/>
      <c r="O14" s="61"/>
      <c r="P14" s="61"/>
      <c r="Q14" s="61"/>
      <c r="R14" s="61"/>
      <c r="S14" s="61"/>
      <c r="T14" s="61"/>
      <c r="U14" s="61"/>
      <c r="V14" s="61"/>
    </row>
    <row r="15" spans="1:22" s="30" customFormat="1" hidden="1">
      <c r="A15" s="139"/>
      <c r="B15" s="139"/>
      <c r="C15" s="139"/>
      <c r="D15" s="139"/>
      <c r="I15" s="96"/>
      <c r="J15" s="97"/>
      <c r="K15" s="97"/>
      <c r="L15" s="139"/>
      <c r="M15" s="139"/>
      <c r="N15" s="61"/>
      <c r="O15" s="61"/>
      <c r="P15" s="61"/>
      <c r="Q15" s="61"/>
      <c r="R15" s="61"/>
      <c r="S15" s="61"/>
      <c r="T15" s="61"/>
      <c r="U15" s="61"/>
      <c r="V15" s="61"/>
    </row>
    <row r="16" spans="1:22" s="30" customFormat="1" hidden="1">
      <c r="A16" s="139"/>
      <c r="B16" s="139"/>
      <c r="C16" s="139"/>
      <c r="D16" s="139"/>
      <c r="I16" s="96"/>
      <c r="J16" s="97"/>
      <c r="K16" s="97"/>
      <c r="L16" s="139"/>
      <c r="M16" s="139"/>
      <c r="N16" s="61"/>
      <c r="O16" s="61"/>
      <c r="P16" s="61"/>
      <c r="Q16" s="61"/>
      <c r="R16" s="61"/>
      <c r="S16" s="61"/>
      <c r="T16" s="61"/>
      <c r="U16" s="61"/>
      <c r="V16" s="61"/>
    </row>
    <row r="17" spans="1:22" s="30" customFormat="1" hidden="1">
      <c r="A17" s="139"/>
      <c r="B17" s="139"/>
      <c r="C17" s="139"/>
      <c r="D17" s="139"/>
      <c r="I17" s="96"/>
      <c r="J17" s="97"/>
      <c r="K17" s="97"/>
      <c r="L17" s="139"/>
      <c r="M17" s="139"/>
      <c r="N17" s="61"/>
      <c r="O17" s="61"/>
      <c r="P17" s="61"/>
      <c r="Q17" s="61"/>
      <c r="R17" s="61"/>
      <c r="S17" s="61"/>
      <c r="T17" s="61"/>
      <c r="U17" s="61"/>
      <c r="V17" s="61"/>
    </row>
    <row r="18" spans="1:22" s="30" customFormat="1" hidden="1">
      <c r="A18" s="139"/>
      <c r="B18" s="139"/>
      <c r="C18" s="139"/>
      <c r="D18" s="139"/>
      <c r="I18" s="96"/>
      <c r="J18" s="97"/>
      <c r="K18" s="97"/>
      <c r="L18" s="139"/>
      <c r="M18" s="139"/>
      <c r="N18" s="61"/>
      <c r="O18" s="61"/>
      <c r="P18" s="61"/>
      <c r="Q18" s="61"/>
      <c r="R18" s="61"/>
      <c r="S18" s="61"/>
      <c r="T18" s="61"/>
      <c r="U18" s="61"/>
      <c r="V18" s="61"/>
    </row>
    <row r="19" spans="1:22" s="30" customFormat="1" hidden="1">
      <c r="A19" s="139"/>
      <c r="B19" s="139"/>
      <c r="C19" s="139"/>
      <c r="D19" s="139"/>
      <c r="I19" s="96"/>
      <c r="J19" s="97"/>
      <c r="K19" s="97"/>
      <c r="L19" s="139"/>
      <c r="M19" s="139"/>
      <c r="N19" s="61"/>
      <c r="O19" s="61"/>
      <c r="P19" s="61"/>
      <c r="Q19" s="61"/>
      <c r="R19" s="61"/>
      <c r="S19" s="61"/>
      <c r="T19" s="61"/>
      <c r="U19" s="61"/>
      <c r="V19" s="61"/>
    </row>
    <row r="20" spans="1:22" s="30" customFormat="1" hidden="1">
      <c r="A20" s="139"/>
      <c r="B20" s="139"/>
      <c r="C20" s="139"/>
      <c r="D20" s="139"/>
      <c r="I20" s="96"/>
      <c r="J20" s="97"/>
      <c r="K20" s="97"/>
      <c r="L20" s="139"/>
      <c r="M20" s="139"/>
      <c r="N20" s="61"/>
      <c r="O20" s="61"/>
      <c r="P20" s="61"/>
      <c r="Q20" s="61"/>
      <c r="R20" s="61"/>
      <c r="S20" s="61"/>
      <c r="T20" s="61"/>
      <c r="U20" s="61"/>
      <c r="V20" s="61"/>
    </row>
    <row r="21" spans="1:22" s="30" customFormat="1" hidden="1">
      <c r="A21" s="139"/>
      <c r="B21" s="139"/>
      <c r="C21" s="139"/>
      <c r="D21" s="139"/>
      <c r="I21" s="96"/>
      <c r="J21" s="97"/>
      <c r="K21" s="97"/>
      <c r="L21" s="139"/>
      <c r="M21" s="139"/>
      <c r="N21" s="61"/>
      <c r="O21" s="61"/>
      <c r="P21" s="61"/>
      <c r="Q21" s="61"/>
      <c r="R21" s="61"/>
      <c r="S21" s="61"/>
      <c r="T21" s="61"/>
      <c r="U21" s="61"/>
      <c r="V21" s="61"/>
    </row>
    <row r="22" spans="1:22" s="30" customFormat="1" hidden="1">
      <c r="A22" s="139"/>
      <c r="B22" s="139"/>
      <c r="C22" s="139"/>
      <c r="D22" s="139"/>
      <c r="I22" s="96"/>
      <c r="J22" s="97"/>
      <c r="K22" s="97"/>
      <c r="L22" s="139"/>
      <c r="M22" s="139"/>
      <c r="N22" s="61"/>
      <c r="O22" s="61"/>
      <c r="P22" s="61"/>
      <c r="Q22" s="61"/>
      <c r="R22" s="61"/>
      <c r="S22" s="61"/>
      <c r="T22" s="61"/>
      <c r="U22" s="61"/>
      <c r="V22" s="61"/>
    </row>
    <row r="23" spans="1:22" s="30" customFormat="1" hidden="1">
      <c r="A23" s="139"/>
      <c r="B23" s="139"/>
      <c r="C23" s="139"/>
      <c r="D23" s="139"/>
      <c r="I23" s="96"/>
      <c r="J23" s="97"/>
      <c r="K23" s="97"/>
      <c r="L23" s="139"/>
      <c r="M23" s="139"/>
      <c r="N23" s="61"/>
      <c r="O23" s="61"/>
      <c r="P23" s="61"/>
      <c r="Q23" s="61"/>
      <c r="R23" s="61"/>
      <c r="S23" s="61"/>
      <c r="T23" s="61"/>
      <c r="U23" s="61"/>
      <c r="V23" s="61"/>
    </row>
    <row r="24" spans="1:22" s="30" customFormat="1" hidden="1">
      <c r="A24" s="139"/>
      <c r="B24" s="139"/>
      <c r="C24" s="139"/>
      <c r="D24" s="139"/>
      <c r="I24" s="96"/>
      <c r="J24" s="97"/>
      <c r="K24" s="97"/>
      <c r="L24" s="139"/>
      <c r="M24" s="139"/>
      <c r="N24" s="61"/>
      <c r="O24" s="61"/>
      <c r="P24" s="61"/>
      <c r="Q24" s="61"/>
      <c r="R24" s="61"/>
      <c r="S24" s="61"/>
      <c r="T24" s="61"/>
      <c r="U24" s="61"/>
      <c r="V24" s="61"/>
    </row>
    <row r="25" spans="1:22" s="30" customFormat="1" hidden="1">
      <c r="A25" s="139"/>
      <c r="B25" s="139"/>
      <c r="C25" s="139"/>
      <c r="D25" s="139"/>
      <c r="I25" s="96"/>
      <c r="J25" s="97"/>
      <c r="K25" s="97"/>
      <c r="L25" s="139"/>
      <c r="M25" s="139"/>
      <c r="N25" s="61"/>
      <c r="O25" s="61"/>
      <c r="P25" s="61"/>
      <c r="Q25" s="61"/>
      <c r="R25" s="61"/>
      <c r="S25" s="61"/>
      <c r="T25" s="61"/>
      <c r="U25" s="61"/>
      <c r="V25" s="61"/>
    </row>
    <row r="26" spans="1:22" s="30" customFormat="1" hidden="1">
      <c r="A26" s="139"/>
      <c r="B26" s="139"/>
      <c r="C26" s="139"/>
      <c r="D26" s="139"/>
      <c r="I26" s="96"/>
      <c r="J26" s="97"/>
      <c r="K26" s="97"/>
      <c r="L26" s="139"/>
      <c r="M26" s="139"/>
      <c r="N26" s="61"/>
      <c r="O26" s="61"/>
      <c r="P26" s="61"/>
      <c r="Q26" s="61"/>
      <c r="R26" s="61"/>
      <c r="S26" s="61"/>
      <c r="T26" s="61"/>
      <c r="U26" s="61"/>
      <c r="V26" s="61"/>
    </row>
    <row r="27" spans="1:22" s="30" customFormat="1" hidden="1">
      <c r="A27" s="139"/>
      <c r="B27" s="139"/>
      <c r="C27" s="139"/>
      <c r="D27" s="139"/>
      <c r="I27" s="96"/>
      <c r="J27" s="97"/>
      <c r="K27" s="97"/>
      <c r="L27" s="139"/>
      <c r="M27" s="139"/>
      <c r="N27" s="61"/>
      <c r="O27" s="61"/>
      <c r="P27" s="61"/>
      <c r="Q27" s="61"/>
      <c r="R27" s="61"/>
      <c r="S27" s="61"/>
      <c r="T27" s="61"/>
      <c r="U27" s="61"/>
      <c r="V27" s="61"/>
    </row>
    <row r="28" spans="1:22" s="30" customFormat="1" hidden="1">
      <c r="A28" s="139"/>
      <c r="B28" s="139"/>
      <c r="C28" s="139"/>
      <c r="D28" s="139"/>
      <c r="I28" s="96"/>
      <c r="J28" s="97"/>
      <c r="K28" s="97"/>
      <c r="L28" s="139"/>
      <c r="M28" s="139"/>
      <c r="N28" s="61"/>
      <c r="O28" s="61"/>
      <c r="P28" s="61"/>
      <c r="Q28" s="61"/>
      <c r="R28" s="61"/>
      <c r="S28" s="61"/>
      <c r="T28" s="61"/>
      <c r="U28" s="61"/>
      <c r="V28" s="61"/>
    </row>
    <row r="29" spans="1:22" s="30" customFormat="1" hidden="1">
      <c r="A29" s="139"/>
      <c r="B29" s="139"/>
      <c r="C29" s="139"/>
      <c r="D29" s="139"/>
      <c r="I29" s="96"/>
      <c r="J29" s="97"/>
      <c r="K29" s="97"/>
      <c r="L29" s="139"/>
      <c r="M29" s="139"/>
      <c r="N29" s="61"/>
      <c r="O29" s="61"/>
      <c r="P29" s="61"/>
      <c r="Q29" s="61"/>
      <c r="R29" s="61"/>
      <c r="S29" s="61"/>
      <c r="T29" s="61"/>
      <c r="U29" s="61"/>
      <c r="V29" s="61"/>
    </row>
    <row r="30" spans="1:22" s="30" customFormat="1" hidden="1">
      <c r="A30" s="139"/>
      <c r="B30" s="139"/>
      <c r="C30" s="139"/>
      <c r="D30" s="139"/>
      <c r="I30" s="96"/>
      <c r="J30" s="97"/>
      <c r="K30" s="97"/>
      <c r="L30" s="139"/>
      <c r="M30" s="139"/>
      <c r="N30" s="61"/>
      <c r="O30" s="61"/>
      <c r="P30" s="61"/>
      <c r="Q30" s="61"/>
      <c r="R30" s="61"/>
      <c r="S30" s="61"/>
      <c r="T30" s="61"/>
      <c r="U30" s="61"/>
      <c r="V30" s="61"/>
    </row>
    <row r="31" spans="1:22" s="30" customFormat="1" hidden="1">
      <c r="A31" s="139"/>
      <c r="B31" s="139"/>
      <c r="C31" s="139"/>
      <c r="D31" s="139"/>
      <c r="I31" s="96"/>
      <c r="J31" s="97"/>
      <c r="K31" s="97"/>
      <c r="L31" s="139"/>
      <c r="M31" s="139"/>
      <c r="N31" s="61"/>
      <c r="O31" s="61"/>
      <c r="P31" s="61"/>
      <c r="Q31" s="61"/>
      <c r="R31" s="61"/>
      <c r="S31" s="61"/>
      <c r="T31" s="61"/>
      <c r="U31" s="61"/>
      <c r="V31" s="61"/>
    </row>
    <row r="32" spans="1:22" s="30" customFormat="1" hidden="1">
      <c r="A32" s="139"/>
      <c r="B32" s="139"/>
      <c r="C32" s="139"/>
      <c r="D32" s="139"/>
      <c r="I32" s="96"/>
      <c r="J32" s="97"/>
      <c r="K32" s="97"/>
      <c r="L32" s="139"/>
      <c r="M32" s="139"/>
      <c r="N32" s="61"/>
      <c r="O32" s="61"/>
      <c r="P32" s="61"/>
      <c r="Q32" s="61"/>
      <c r="R32" s="61"/>
      <c r="S32" s="61"/>
      <c r="T32" s="61"/>
      <c r="U32" s="61"/>
      <c r="V32" s="61"/>
    </row>
    <row r="33" spans="1:22" s="30" customFormat="1" hidden="1">
      <c r="A33" s="139"/>
      <c r="B33" s="139"/>
      <c r="C33" s="139"/>
      <c r="D33" s="139"/>
      <c r="I33" s="96"/>
      <c r="J33" s="97"/>
      <c r="K33" s="97"/>
      <c r="L33" s="139"/>
      <c r="M33" s="139"/>
      <c r="N33" s="61"/>
      <c r="O33" s="61"/>
      <c r="P33" s="61"/>
      <c r="Q33" s="61"/>
      <c r="R33" s="61"/>
      <c r="S33" s="61"/>
      <c r="T33" s="61"/>
      <c r="U33" s="61"/>
      <c r="V33" s="61"/>
    </row>
    <row r="34" spans="1:22" s="30" customFormat="1" hidden="1">
      <c r="A34" s="139"/>
      <c r="B34" s="139"/>
      <c r="C34" s="139"/>
      <c r="D34" s="139"/>
      <c r="I34" s="96"/>
      <c r="J34" s="97"/>
      <c r="K34" s="97"/>
      <c r="L34" s="139"/>
      <c r="M34" s="139"/>
      <c r="N34" s="61"/>
      <c r="O34" s="61"/>
      <c r="P34" s="61"/>
      <c r="Q34" s="61"/>
      <c r="R34" s="61"/>
      <c r="S34" s="61"/>
      <c r="T34" s="61"/>
      <c r="U34" s="61"/>
      <c r="V34" s="61"/>
    </row>
    <row r="35" spans="1:22" s="30" customFormat="1" hidden="1">
      <c r="A35" s="139"/>
      <c r="B35" s="139"/>
      <c r="C35" s="139"/>
      <c r="D35" s="139"/>
      <c r="I35" s="96"/>
      <c r="J35" s="97"/>
      <c r="K35" s="97"/>
      <c r="L35" s="139"/>
      <c r="M35" s="139"/>
      <c r="N35" s="61"/>
      <c r="O35" s="61"/>
      <c r="P35" s="61"/>
      <c r="Q35" s="61"/>
      <c r="R35" s="61"/>
      <c r="S35" s="61"/>
      <c r="T35" s="61"/>
      <c r="U35" s="61"/>
      <c r="V35" s="61"/>
    </row>
    <row r="36" spans="1:22" s="30" customFormat="1" hidden="1">
      <c r="A36" s="139"/>
      <c r="B36" s="139"/>
      <c r="C36" s="139"/>
      <c r="D36" s="139"/>
      <c r="I36" s="96"/>
      <c r="J36" s="97"/>
      <c r="K36" s="97"/>
      <c r="L36" s="139"/>
      <c r="M36" s="139"/>
      <c r="N36" s="61"/>
      <c r="O36" s="61"/>
      <c r="P36" s="61"/>
      <c r="Q36" s="61"/>
      <c r="R36" s="61"/>
      <c r="S36" s="61"/>
      <c r="T36" s="61"/>
      <c r="U36" s="61"/>
      <c r="V36" s="61"/>
    </row>
    <row r="37" spans="1:22" s="30" customFormat="1" hidden="1">
      <c r="A37" s="139"/>
      <c r="B37" s="139"/>
      <c r="C37" s="139"/>
      <c r="D37" s="139"/>
      <c r="I37" s="96"/>
      <c r="J37" s="97"/>
      <c r="K37" s="97"/>
      <c r="L37" s="139"/>
      <c r="M37" s="139"/>
      <c r="N37" s="61"/>
      <c r="O37" s="61"/>
      <c r="P37" s="61"/>
      <c r="Q37" s="61"/>
      <c r="R37" s="61"/>
      <c r="S37" s="61"/>
      <c r="T37" s="61"/>
      <c r="U37" s="61"/>
      <c r="V37" s="61"/>
    </row>
    <row r="38" spans="1:22" s="30" customFormat="1" hidden="1">
      <c r="A38" s="139"/>
      <c r="B38" s="139"/>
      <c r="C38" s="139"/>
      <c r="D38" s="139"/>
      <c r="I38" s="96"/>
      <c r="J38" s="97"/>
      <c r="K38" s="97"/>
      <c r="L38" s="139"/>
      <c r="M38" s="139"/>
      <c r="N38" s="61"/>
      <c r="O38" s="61"/>
      <c r="P38" s="61"/>
      <c r="Q38" s="61"/>
      <c r="R38" s="61"/>
      <c r="S38" s="61"/>
      <c r="T38" s="61"/>
      <c r="U38" s="61"/>
      <c r="V38" s="61"/>
    </row>
    <row r="39" spans="1:22" s="30" customFormat="1" hidden="1">
      <c r="A39" s="139"/>
      <c r="B39" s="139"/>
      <c r="C39" s="139"/>
      <c r="D39" s="139"/>
      <c r="I39" s="96"/>
      <c r="J39" s="97"/>
      <c r="K39" s="97"/>
      <c r="L39" s="139"/>
      <c r="M39" s="139"/>
      <c r="N39" s="61"/>
      <c r="O39" s="61"/>
      <c r="P39" s="61"/>
      <c r="Q39" s="61"/>
      <c r="R39" s="61"/>
      <c r="S39" s="61"/>
      <c r="T39" s="61"/>
      <c r="U39" s="61"/>
      <c r="V39" s="61"/>
    </row>
    <row r="40" spans="1:22" s="30" customFormat="1" hidden="1">
      <c r="A40" s="139"/>
      <c r="B40" s="139"/>
      <c r="C40" s="139"/>
      <c r="D40" s="139"/>
      <c r="I40" s="96"/>
      <c r="J40" s="97"/>
      <c r="K40" s="97"/>
      <c r="L40" s="139"/>
      <c r="M40" s="139"/>
      <c r="N40" s="61"/>
      <c r="O40" s="61"/>
      <c r="P40" s="61"/>
      <c r="Q40" s="61"/>
      <c r="R40" s="61"/>
      <c r="S40" s="61"/>
      <c r="T40" s="61"/>
      <c r="U40" s="61"/>
      <c r="V40" s="61"/>
    </row>
    <row r="41" spans="1:22" s="30" customFormat="1" hidden="1">
      <c r="A41" s="139"/>
      <c r="B41" s="139"/>
      <c r="C41" s="139"/>
      <c r="D41" s="139"/>
      <c r="I41" s="96"/>
      <c r="J41" s="97"/>
      <c r="K41" s="97"/>
      <c r="L41" s="139"/>
      <c r="M41" s="139"/>
      <c r="N41" s="61"/>
      <c r="O41" s="61"/>
      <c r="P41" s="61"/>
      <c r="Q41" s="61"/>
      <c r="R41" s="61"/>
      <c r="S41" s="61"/>
      <c r="T41" s="61"/>
      <c r="U41" s="61"/>
      <c r="V41" s="61"/>
    </row>
    <row r="42" spans="1:22" s="30" customFormat="1" hidden="1">
      <c r="A42" s="139"/>
      <c r="B42" s="139"/>
      <c r="C42" s="139"/>
      <c r="D42" s="139"/>
      <c r="I42" s="96"/>
      <c r="J42" s="97"/>
      <c r="K42" s="97"/>
      <c r="L42" s="139"/>
      <c r="M42" s="139"/>
      <c r="N42" s="61"/>
      <c r="O42" s="61"/>
      <c r="P42" s="61"/>
      <c r="Q42" s="61"/>
      <c r="R42" s="61"/>
      <c r="S42" s="61"/>
      <c r="T42" s="61"/>
      <c r="U42" s="61"/>
      <c r="V42" s="61"/>
    </row>
    <row r="43" spans="1:22" s="30" customFormat="1" hidden="1">
      <c r="A43" s="139"/>
      <c r="B43" s="139"/>
      <c r="C43" s="139"/>
      <c r="D43" s="139"/>
      <c r="I43" s="96"/>
      <c r="J43" s="97"/>
      <c r="K43" s="97"/>
      <c r="L43" s="139"/>
      <c r="M43" s="139"/>
      <c r="N43" s="61"/>
      <c r="O43" s="61"/>
      <c r="P43" s="61"/>
      <c r="Q43" s="61"/>
      <c r="R43" s="61"/>
      <c r="S43" s="61"/>
      <c r="T43" s="61"/>
      <c r="U43" s="61"/>
      <c r="V43" s="61"/>
    </row>
    <row r="44" spans="1:22" s="30" customFormat="1" hidden="1">
      <c r="A44" s="139"/>
      <c r="B44" s="139"/>
      <c r="C44" s="139"/>
      <c r="D44" s="139"/>
      <c r="I44" s="96"/>
      <c r="J44" s="97"/>
      <c r="K44" s="97"/>
      <c r="L44" s="139"/>
      <c r="M44" s="139"/>
      <c r="N44" s="61"/>
      <c r="O44" s="61"/>
      <c r="P44" s="61"/>
      <c r="Q44" s="61"/>
      <c r="R44" s="61"/>
      <c r="S44" s="61"/>
      <c r="T44" s="61"/>
      <c r="U44" s="61"/>
      <c r="V44" s="61"/>
    </row>
    <row r="45" spans="1:22" s="30" customFormat="1" hidden="1">
      <c r="A45" s="139"/>
      <c r="B45" s="139"/>
      <c r="C45" s="139"/>
      <c r="D45" s="139"/>
      <c r="I45" s="96"/>
      <c r="J45" s="97"/>
      <c r="K45" s="97"/>
      <c r="L45" s="139"/>
      <c r="M45" s="139"/>
      <c r="N45" s="61"/>
      <c r="O45" s="61"/>
      <c r="P45" s="61"/>
      <c r="Q45" s="61"/>
      <c r="R45" s="61"/>
      <c r="S45" s="61"/>
      <c r="T45" s="61"/>
      <c r="U45" s="61"/>
      <c r="V45" s="61"/>
    </row>
    <row r="46" spans="1:22" s="30" customFormat="1" hidden="1">
      <c r="A46" s="139"/>
      <c r="B46" s="139"/>
      <c r="C46" s="139"/>
      <c r="D46" s="139"/>
      <c r="I46" s="96"/>
      <c r="J46" s="97"/>
      <c r="K46" s="97"/>
      <c r="L46" s="139"/>
      <c r="M46" s="139"/>
      <c r="N46" s="61"/>
      <c r="O46" s="61"/>
      <c r="P46" s="61"/>
      <c r="Q46" s="61"/>
      <c r="R46" s="61"/>
      <c r="S46" s="61"/>
      <c r="T46" s="61"/>
      <c r="U46" s="61"/>
      <c r="V46" s="61"/>
    </row>
    <row r="47" spans="1:22" s="30" customFormat="1" hidden="1">
      <c r="A47" s="139"/>
      <c r="B47" s="139"/>
      <c r="C47" s="139"/>
      <c r="D47" s="139"/>
      <c r="I47" s="96"/>
      <c r="J47" s="97"/>
      <c r="K47" s="97"/>
      <c r="L47" s="139"/>
      <c r="M47" s="139"/>
      <c r="N47" s="61"/>
      <c r="O47" s="61"/>
      <c r="P47" s="61"/>
      <c r="Q47" s="61"/>
      <c r="R47" s="61"/>
      <c r="S47" s="61"/>
      <c r="T47" s="61"/>
      <c r="U47" s="61"/>
      <c r="V47" s="61"/>
    </row>
    <row r="48" spans="1:22" s="30" customFormat="1" hidden="1">
      <c r="A48" s="139"/>
      <c r="B48" s="139"/>
      <c r="C48" s="139"/>
      <c r="D48" s="139"/>
      <c r="I48" s="96"/>
      <c r="J48" s="97"/>
      <c r="K48" s="97"/>
      <c r="L48" s="139"/>
      <c r="M48" s="139"/>
      <c r="N48" s="61"/>
      <c r="O48" s="61"/>
      <c r="P48" s="61"/>
      <c r="Q48" s="61"/>
      <c r="R48" s="61"/>
      <c r="S48" s="61"/>
      <c r="T48" s="61"/>
      <c r="U48" s="61"/>
      <c r="V48" s="61"/>
    </row>
    <row r="49" spans="1:22" s="30" customFormat="1" hidden="1">
      <c r="A49" s="139"/>
      <c r="B49" s="139"/>
      <c r="C49" s="139"/>
      <c r="D49" s="139"/>
      <c r="I49" s="96"/>
      <c r="J49" s="97"/>
      <c r="K49" s="97"/>
      <c r="L49" s="139"/>
      <c r="M49" s="139"/>
      <c r="N49" s="61"/>
      <c r="O49" s="61"/>
      <c r="P49" s="61"/>
      <c r="Q49" s="61"/>
      <c r="R49" s="61"/>
      <c r="S49" s="61"/>
      <c r="T49" s="61"/>
      <c r="U49" s="61"/>
      <c r="V49" s="61"/>
    </row>
    <row r="50" spans="1:22" s="30" customFormat="1" hidden="1">
      <c r="A50" s="139"/>
      <c r="B50" s="139"/>
      <c r="C50" s="139"/>
      <c r="D50" s="139"/>
      <c r="I50" s="96"/>
      <c r="J50" s="97"/>
      <c r="K50" s="97"/>
      <c r="L50" s="139"/>
      <c r="M50" s="139"/>
      <c r="N50" s="61"/>
      <c r="O50" s="61"/>
      <c r="P50" s="61"/>
      <c r="Q50" s="61"/>
      <c r="R50" s="61"/>
      <c r="S50" s="61"/>
      <c r="T50" s="61"/>
      <c r="U50" s="61"/>
      <c r="V50" s="61"/>
    </row>
    <row r="51" spans="1:22" s="30" customFormat="1" hidden="1">
      <c r="A51" s="139"/>
      <c r="B51" s="139"/>
      <c r="C51" s="139"/>
      <c r="D51" s="139"/>
      <c r="I51" s="96"/>
      <c r="J51" s="97"/>
      <c r="K51" s="97"/>
      <c r="L51" s="139"/>
      <c r="M51" s="139"/>
      <c r="N51" s="61"/>
      <c r="O51" s="61"/>
      <c r="P51" s="61"/>
      <c r="Q51" s="61"/>
      <c r="R51" s="61"/>
      <c r="S51" s="61"/>
      <c r="T51" s="61"/>
      <c r="U51" s="61"/>
      <c r="V51" s="61"/>
    </row>
    <row r="52" spans="1:22" s="30" customFormat="1" hidden="1">
      <c r="A52" s="139"/>
      <c r="B52" s="139"/>
      <c r="C52" s="139"/>
      <c r="D52" s="139"/>
      <c r="I52" s="96"/>
      <c r="J52" s="97"/>
      <c r="K52" s="97"/>
      <c r="L52" s="139"/>
      <c r="M52" s="139"/>
      <c r="N52" s="61"/>
      <c r="O52" s="61"/>
      <c r="P52" s="61"/>
      <c r="Q52" s="61"/>
      <c r="R52" s="61"/>
      <c r="S52" s="61"/>
      <c r="T52" s="61"/>
      <c r="U52" s="61"/>
      <c r="V52" s="61"/>
    </row>
    <row r="53" spans="1:22" s="30" customFormat="1" hidden="1">
      <c r="A53" s="139"/>
      <c r="B53" s="139"/>
      <c r="C53" s="139"/>
      <c r="D53" s="139"/>
      <c r="I53" s="96"/>
      <c r="J53" s="97"/>
      <c r="K53" s="97"/>
      <c r="L53" s="139"/>
      <c r="M53" s="139"/>
      <c r="N53" s="61"/>
      <c r="O53" s="61"/>
      <c r="P53" s="61"/>
      <c r="Q53" s="61"/>
      <c r="R53" s="61"/>
      <c r="S53" s="61"/>
      <c r="T53" s="61"/>
      <c r="U53" s="61"/>
      <c r="V53" s="61"/>
    </row>
    <row r="54" spans="1:22" s="30" customFormat="1" hidden="1">
      <c r="A54" s="139"/>
      <c r="B54" s="139"/>
      <c r="C54" s="139"/>
      <c r="D54" s="139"/>
      <c r="I54" s="96"/>
      <c r="J54" s="97"/>
      <c r="K54" s="97"/>
      <c r="L54" s="139"/>
      <c r="M54" s="139"/>
      <c r="N54" s="61"/>
      <c r="O54" s="61"/>
      <c r="P54" s="61"/>
      <c r="Q54" s="61"/>
      <c r="R54" s="61"/>
      <c r="S54" s="61"/>
      <c r="T54" s="61"/>
      <c r="U54" s="61"/>
      <c r="V54" s="61"/>
    </row>
    <row r="55" spans="1:22" s="30" customFormat="1" hidden="1">
      <c r="A55" s="139"/>
      <c r="B55" s="139"/>
      <c r="C55" s="139"/>
      <c r="D55" s="139"/>
      <c r="I55" s="96"/>
      <c r="J55" s="97"/>
      <c r="K55" s="97"/>
      <c r="L55" s="139"/>
      <c r="M55" s="139"/>
      <c r="N55" s="61"/>
      <c r="O55" s="61"/>
      <c r="P55" s="61"/>
      <c r="Q55" s="61"/>
      <c r="R55" s="61"/>
      <c r="S55" s="61"/>
      <c r="T55" s="61"/>
      <c r="U55" s="61"/>
      <c r="V55" s="61"/>
    </row>
    <row r="56" spans="1:22" s="30" customFormat="1" hidden="1">
      <c r="A56" s="139"/>
      <c r="B56" s="139"/>
      <c r="C56" s="139"/>
      <c r="D56" s="139"/>
      <c r="I56" s="96"/>
      <c r="J56" s="97"/>
      <c r="K56" s="97"/>
      <c r="L56" s="139"/>
      <c r="M56" s="139"/>
      <c r="N56" s="61"/>
      <c r="O56" s="61"/>
      <c r="P56" s="61"/>
      <c r="Q56" s="61"/>
      <c r="R56" s="61"/>
      <c r="S56" s="61"/>
      <c r="T56" s="61"/>
      <c r="U56" s="61"/>
      <c r="V56" s="61"/>
    </row>
    <row r="57" spans="1:22" s="30" customFormat="1" hidden="1">
      <c r="A57" s="139"/>
      <c r="B57" s="139"/>
      <c r="C57" s="139"/>
      <c r="D57" s="139"/>
      <c r="I57" s="96"/>
      <c r="J57" s="97"/>
      <c r="K57" s="97"/>
      <c r="L57" s="139"/>
      <c r="M57" s="139"/>
      <c r="N57" s="61"/>
      <c r="O57" s="61"/>
      <c r="P57" s="61"/>
      <c r="Q57" s="61"/>
      <c r="R57" s="61"/>
      <c r="S57" s="61"/>
      <c r="T57" s="61"/>
      <c r="U57" s="61"/>
      <c r="V57" s="61"/>
    </row>
    <row r="58" spans="1:22" s="30" customFormat="1" hidden="1">
      <c r="A58" s="139"/>
      <c r="B58" s="139"/>
      <c r="C58" s="139"/>
      <c r="D58" s="139"/>
      <c r="I58" s="96"/>
      <c r="J58" s="97"/>
      <c r="K58" s="97"/>
      <c r="L58" s="139"/>
      <c r="M58" s="139"/>
      <c r="N58" s="61"/>
      <c r="O58" s="61"/>
      <c r="P58" s="61"/>
      <c r="Q58" s="61"/>
      <c r="R58" s="61"/>
      <c r="S58" s="61"/>
      <c r="T58" s="61"/>
      <c r="U58" s="61"/>
      <c r="V58" s="61"/>
    </row>
    <row r="59" spans="1:22" s="30" customFormat="1" hidden="1">
      <c r="A59" s="139"/>
      <c r="B59" s="139"/>
      <c r="C59" s="139"/>
      <c r="D59" s="139"/>
      <c r="I59" s="96"/>
      <c r="J59" s="97"/>
      <c r="K59" s="97"/>
      <c r="L59" s="139"/>
      <c r="M59" s="139"/>
      <c r="N59" s="61"/>
      <c r="O59" s="61"/>
      <c r="P59" s="61"/>
      <c r="Q59" s="61"/>
      <c r="R59" s="61"/>
      <c r="S59" s="61"/>
      <c r="T59" s="61"/>
      <c r="U59" s="61"/>
      <c r="V59" s="61"/>
    </row>
    <row r="60" spans="1:22" s="30" customFormat="1" hidden="1">
      <c r="A60" s="139"/>
      <c r="B60" s="139"/>
      <c r="C60" s="139"/>
      <c r="D60" s="139"/>
      <c r="I60" s="96"/>
      <c r="J60" s="97"/>
      <c r="K60" s="97"/>
      <c r="L60" s="139"/>
      <c r="M60" s="139"/>
      <c r="N60" s="61"/>
      <c r="O60" s="61"/>
      <c r="P60" s="61"/>
      <c r="Q60" s="61"/>
      <c r="R60" s="61"/>
      <c r="S60" s="61"/>
      <c r="T60" s="61"/>
      <c r="U60" s="61"/>
      <c r="V60" s="61"/>
    </row>
    <row r="61" spans="1:22" s="30" customFormat="1" hidden="1">
      <c r="A61" s="139"/>
      <c r="B61" s="139"/>
      <c r="C61" s="139"/>
      <c r="D61" s="139"/>
      <c r="I61" s="96"/>
      <c r="J61" s="97"/>
      <c r="K61" s="97"/>
      <c r="L61" s="139"/>
      <c r="M61" s="139"/>
      <c r="N61" s="61"/>
      <c r="O61" s="61"/>
      <c r="P61" s="61"/>
      <c r="Q61" s="61"/>
      <c r="R61" s="61"/>
      <c r="S61" s="61"/>
      <c r="T61" s="61"/>
      <c r="U61" s="61"/>
      <c r="V61" s="61"/>
    </row>
    <row r="62" spans="1:22" s="30" customFormat="1" hidden="1">
      <c r="A62" s="139"/>
      <c r="B62" s="139"/>
      <c r="C62" s="139"/>
      <c r="D62" s="139"/>
      <c r="I62" s="96"/>
      <c r="J62" s="97"/>
      <c r="K62" s="97"/>
      <c r="L62" s="139"/>
      <c r="M62" s="139"/>
      <c r="N62" s="61"/>
      <c r="O62" s="61"/>
      <c r="P62" s="61"/>
      <c r="Q62" s="61"/>
      <c r="R62" s="61"/>
      <c r="S62" s="61"/>
      <c r="T62" s="61"/>
      <c r="U62" s="61"/>
      <c r="V62" s="61"/>
    </row>
    <row r="63" spans="1:22" s="30" customFormat="1" hidden="1">
      <c r="A63" s="139"/>
      <c r="B63" s="139"/>
      <c r="C63" s="139"/>
      <c r="D63" s="139"/>
      <c r="I63" s="96"/>
      <c r="J63" s="97"/>
      <c r="K63" s="97"/>
      <c r="L63" s="139"/>
      <c r="M63" s="139"/>
      <c r="N63" s="61"/>
      <c r="O63" s="61"/>
      <c r="P63" s="61"/>
      <c r="Q63" s="61"/>
      <c r="R63" s="61"/>
      <c r="S63" s="61"/>
      <c r="T63" s="61"/>
      <c r="U63" s="61"/>
      <c r="V63" s="61"/>
    </row>
    <row r="64" spans="1:22" s="30" customFormat="1" hidden="1">
      <c r="A64" s="139"/>
      <c r="B64" s="139"/>
      <c r="C64" s="139"/>
      <c r="D64" s="139"/>
      <c r="I64" s="96"/>
      <c r="J64" s="97"/>
      <c r="K64" s="97"/>
      <c r="L64" s="139"/>
      <c r="M64" s="139"/>
      <c r="N64" s="61"/>
      <c r="O64" s="61"/>
      <c r="P64" s="61"/>
      <c r="Q64" s="61"/>
      <c r="R64" s="61"/>
      <c r="S64" s="61"/>
      <c r="T64" s="61"/>
      <c r="U64" s="61"/>
      <c r="V64" s="61"/>
    </row>
    <row r="65" spans="1:22" s="30" customFormat="1" hidden="1">
      <c r="A65" s="139"/>
      <c r="B65" s="139"/>
      <c r="C65" s="139"/>
      <c r="D65" s="139"/>
      <c r="I65" s="96"/>
      <c r="J65" s="97"/>
      <c r="K65" s="97"/>
      <c r="L65" s="139"/>
      <c r="M65" s="139"/>
      <c r="N65" s="61"/>
      <c r="O65" s="61"/>
      <c r="P65" s="61"/>
      <c r="Q65" s="61"/>
      <c r="R65" s="61"/>
      <c r="S65" s="61"/>
      <c r="T65" s="61"/>
      <c r="U65" s="61"/>
      <c r="V65" s="61"/>
    </row>
    <row r="66" spans="1:22" s="30" customFormat="1" hidden="1">
      <c r="A66" s="139"/>
      <c r="B66" s="139"/>
      <c r="C66" s="139"/>
      <c r="D66" s="139"/>
      <c r="I66" s="96"/>
      <c r="J66" s="97"/>
      <c r="K66" s="97"/>
      <c r="L66" s="139"/>
      <c r="M66" s="139"/>
      <c r="N66" s="61"/>
      <c r="O66" s="61"/>
      <c r="P66" s="61"/>
      <c r="Q66" s="61"/>
      <c r="R66" s="61"/>
      <c r="S66" s="61"/>
      <c r="T66" s="61"/>
      <c r="U66" s="61"/>
      <c r="V66" s="61"/>
    </row>
    <row r="67" spans="1:22" s="30" customFormat="1" hidden="1">
      <c r="A67" s="139"/>
      <c r="B67" s="139"/>
      <c r="C67" s="139"/>
      <c r="D67" s="139"/>
      <c r="I67" s="96"/>
      <c r="J67" s="97"/>
      <c r="K67" s="97"/>
      <c r="L67" s="139"/>
      <c r="M67" s="139"/>
      <c r="N67" s="61"/>
      <c r="O67" s="61"/>
      <c r="P67" s="61"/>
      <c r="Q67" s="61"/>
      <c r="R67" s="61"/>
      <c r="S67" s="61"/>
      <c r="T67" s="61"/>
      <c r="U67" s="61"/>
      <c r="V67" s="61"/>
    </row>
    <row r="68" spans="1:22" s="30" customFormat="1" hidden="1">
      <c r="A68" s="139"/>
      <c r="B68" s="139"/>
      <c r="C68" s="139"/>
      <c r="D68" s="139"/>
      <c r="I68" s="96"/>
      <c r="J68" s="97"/>
      <c r="K68" s="97"/>
      <c r="L68" s="139"/>
      <c r="M68" s="139"/>
      <c r="N68" s="61"/>
      <c r="O68" s="61"/>
      <c r="P68" s="61"/>
      <c r="Q68" s="61"/>
      <c r="R68" s="61"/>
      <c r="S68" s="61"/>
      <c r="T68" s="61"/>
      <c r="U68" s="61"/>
      <c r="V68" s="61"/>
    </row>
    <row r="69" spans="1:22" s="30" customFormat="1" hidden="1">
      <c r="A69" s="139"/>
      <c r="B69" s="139"/>
      <c r="C69" s="139"/>
      <c r="D69" s="139"/>
      <c r="I69" s="96"/>
      <c r="J69" s="97"/>
      <c r="K69" s="97"/>
      <c r="L69" s="139"/>
      <c r="M69" s="139"/>
      <c r="N69" s="61"/>
      <c r="O69" s="61"/>
      <c r="P69" s="61"/>
      <c r="Q69" s="61"/>
      <c r="R69" s="61"/>
      <c r="S69" s="61"/>
      <c r="T69" s="61"/>
      <c r="U69" s="61"/>
      <c r="V69" s="61"/>
    </row>
    <row r="70" spans="1:22" s="30" customFormat="1" hidden="1">
      <c r="A70" s="139"/>
      <c r="B70" s="139"/>
      <c r="C70" s="139"/>
      <c r="D70" s="139"/>
      <c r="I70" s="96"/>
      <c r="J70" s="97"/>
      <c r="K70" s="97"/>
      <c r="L70" s="139"/>
      <c r="M70" s="139"/>
      <c r="N70" s="61"/>
      <c r="O70" s="61"/>
      <c r="P70" s="61"/>
      <c r="Q70" s="61"/>
      <c r="R70" s="61"/>
      <c r="S70" s="61"/>
      <c r="T70" s="61"/>
      <c r="U70" s="61"/>
      <c r="V70" s="61"/>
    </row>
    <row r="71" spans="1:22" s="30" customFormat="1" hidden="1">
      <c r="A71" s="139"/>
      <c r="B71" s="139"/>
      <c r="C71" s="139"/>
      <c r="D71" s="139"/>
      <c r="I71" s="96"/>
      <c r="J71" s="97"/>
      <c r="K71" s="97"/>
      <c r="L71" s="139"/>
      <c r="M71" s="139"/>
      <c r="N71" s="61"/>
      <c r="O71" s="61"/>
      <c r="P71" s="61"/>
      <c r="Q71" s="61"/>
      <c r="R71" s="61"/>
      <c r="S71" s="61"/>
      <c r="T71" s="61"/>
      <c r="U71" s="61"/>
      <c r="V71" s="61"/>
    </row>
    <row r="72" spans="1:22" s="30" customFormat="1" hidden="1">
      <c r="A72" s="139"/>
      <c r="B72" s="139"/>
      <c r="C72" s="139"/>
      <c r="D72" s="139"/>
      <c r="I72" s="96"/>
      <c r="J72" s="97"/>
      <c r="K72" s="97"/>
      <c r="L72" s="139"/>
      <c r="M72" s="139"/>
      <c r="N72" s="61"/>
      <c r="O72" s="61"/>
      <c r="P72" s="61"/>
      <c r="Q72" s="61"/>
      <c r="R72" s="61"/>
      <c r="S72" s="61"/>
      <c r="T72" s="61"/>
      <c r="U72" s="61"/>
      <c r="V72" s="61"/>
    </row>
    <row r="73" spans="1:22" s="30" customFormat="1" hidden="1">
      <c r="A73" s="139"/>
      <c r="B73" s="139"/>
      <c r="C73" s="139"/>
      <c r="D73" s="139"/>
      <c r="I73" s="96"/>
      <c r="J73" s="97"/>
      <c r="K73" s="97"/>
      <c r="L73" s="139"/>
      <c r="M73" s="139"/>
      <c r="N73" s="61"/>
      <c r="O73" s="61"/>
      <c r="P73" s="61"/>
      <c r="Q73" s="61"/>
      <c r="R73" s="61"/>
      <c r="S73" s="61"/>
      <c r="T73" s="61"/>
      <c r="U73" s="61"/>
      <c r="V73" s="61"/>
    </row>
    <row r="74" spans="1:22" s="30" customFormat="1" hidden="1">
      <c r="A74" s="139"/>
      <c r="B74" s="139"/>
      <c r="C74" s="139"/>
      <c r="D74" s="139"/>
      <c r="I74" s="96"/>
      <c r="J74" s="97"/>
      <c r="K74" s="97"/>
      <c r="L74" s="139"/>
      <c r="M74" s="139"/>
      <c r="N74" s="61"/>
      <c r="O74" s="61"/>
      <c r="P74" s="61"/>
      <c r="Q74" s="61"/>
      <c r="R74" s="61"/>
      <c r="S74" s="61"/>
      <c r="T74" s="61"/>
      <c r="U74" s="61"/>
      <c r="V74" s="61"/>
    </row>
    <row r="75" spans="1:22" s="30" customFormat="1" hidden="1">
      <c r="A75" s="139"/>
      <c r="B75" s="139"/>
      <c r="C75" s="139"/>
      <c r="D75" s="139"/>
      <c r="I75" s="96"/>
      <c r="J75" s="97"/>
      <c r="K75" s="97"/>
      <c r="L75" s="139"/>
      <c r="M75" s="139"/>
      <c r="N75" s="61"/>
      <c r="O75" s="61"/>
      <c r="P75" s="61"/>
      <c r="Q75" s="61"/>
      <c r="R75" s="61"/>
      <c r="S75" s="61"/>
      <c r="T75" s="61"/>
      <c r="U75" s="61"/>
      <c r="V75" s="61"/>
    </row>
    <row r="76" spans="1:22" s="30" customFormat="1" hidden="1">
      <c r="A76" s="139"/>
      <c r="B76" s="139"/>
      <c r="C76" s="139"/>
      <c r="D76" s="139"/>
      <c r="I76" s="96"/>
      <c r="J76" s="97"/>
      <c r="K76" s="97"/>
      <c r="L76" s="139"/>
      <c r="M76" s="139"/>
      <c r="N76" s="61"/>
      <c r="O76" s="61"/>
      <c r="P76" s="61"/>
      <c r="Q76" s="61"/>
      <c r="R76" s="61"/>
      <c r="S76" s="61"/>
      <c r="T76" s="61"/>
      <c r="U76" s="61"/>
      <c r="V76" s="61"/>
    </row>
    <row r="77" spans="1:22" s="30" customFormat="1" hidden="1">
      <c r="A77" s="139"/>
      <c r="B77" s="139"/>
      <c r="C77" s="139"/>
      <c r="D77" s="139"/>
      <c r="I77" s="96"/>
      <c r="J77" s="97"/>
      <c r="K77" s="97"/>
      <c r="L77" s="139"/>
      <c r="M77" s="139"/>
      <c r="N77" s="61"/>
      <c r="O77" s="61"/>
      <c r="P77" s="61"/>
      <c r="Q77" s="61"/>
      <c r="R77" s="61"/>
      <c r="S77" s="61"/>
      <c r="T77" s="61"/>
      <c r="U77" s="61"/>
      <c r="V77" s="61"/>
    </row>
    <row r="78" spans="1:22" s="30" customFormat="1" hidden="1">
      <c r="A78" s="139"/>
      <c r="B78" s="139"/>
      <c r="C78" s="139"/>
      <c r="D78" s="139"/>
      <c r="I78" s="96"/>
      <c r="J78" s="97"/>
      <c r="K78" s="97"/>
      <c r="L78" s="139"/>
      <c r="M78" s="139"/>
      <c r="N78" s="61"/>
      <c r="O78" s="61"/>
      <c r="P78" s="61"/>
      <c r="Q78" s="61"/>
      <c r="R78" s="61"/>
      <c r="S78" s="61"/>
      <c r="T78" s="61"/>
      <c r="U78" s="61"/>
      <c r="V78" s="61"/>
    </row>
    <row r="79" spans="1:22" s="30" customFormat="1" hidden="1">
      <c r="A79" s="139"/>
      <c r="B79" s="139"/>
      <c r="C79" s="139"/>
      <c r="D79" s="139"/>
      <c r="I79" s="96"/>
      <c r="J79" s="97"/>
      <c r="K79" s="97"/>
      <c r="L79" s="139"/>
      <c r="M79" s="139"/>
      <c r="N79" s="61"/>
      <c r="O79" s="61"/>
      <c r="P79" s="61"/>
      <c r="Q79" s="61"/>
      <c r="R79" s="61"/>
      <c r="S79" s="61"/>
      <c r="T79" s="61"/>
      <c r="U79" s="61"/>
      <c r="V79" s="61"/>
    </row>
    <row r="80" spans="1:22" s="30" customFormat="1" hidden="1">
      <c r="A80" s="139"/>
      <c r="B80" s="139"/>
      <c r="C80" s="139"/>
      <c r="D80" s="139"/>
      <c r="I80" s="96"/>
      <c r="J80" s="97"/>
      <c r="K80" s="97"/>
      <c r="L80" s="139"/>
      <c r="M80" s="139"/>
      <c r="N80" s="61"/>
      <c r="O80" s="61"/>
      <c r="P80" s="61"/>
      <c r="Q80" s="61"/>
      <c r="R80" s="61"/>
      <c r="S80" s="61"/>
      <c r="T80" s="61"/>
      <c r="U80" s="61"/>
      <c r="V80" s="61"/>
    </row>
    <row r="81" spans="1:22" s="30" customFormat="1" hidden="1">
      <c r="A81" s="139"/>
      <c r="B81" s="139"/>
      <c r="C81" s="139"/>
      <c r="D81" s="139"/>
      <c r="I81" s="96"/>
      <c r="J81" s="97"/>
      <c r="K81" s="97"/>
      <c r="L81" s="139"/>
      <c r="M81" s="139"/>
      <c r="N81" s="61"/>
      <c r="O81" s="61"/>
      <c r="P81" s="61"/>
      <c r="Q81" s="61"/>
      <c r="R81" s="61"/>
      <c r="S81" s="61"/>
      <c r="T81" s="61"/>
      <c r="U81" s="61"/>
      <c r="V81" s="61"/>
    </row>
    <row r="82" spans="1:22" s="30" customFormat="1" hidden="1">
      <c r="A82" s="139"/>
      <c r="B82" s="139"/>
      <c r="C82" s="139"/>
      <c r="D82" s="139"/>
      <c r="I82" s="96"/>
      <c r="J82" s="97"/>
      <c r="K82" s="97"/>
      <c r="L82" s="139"/>
      <c r="M82" s="139"/>
      <c r="N82" s="61"/>
      <c r="O82" s="61"/>
      <c r="P82" s="61"/>
      <c r="Q82" s="61"/>
      <c r="R82" s="61"/>
      <c r="S82" s="61"/>
      <c r="T82" s="61"/>
      <c r="U82" s="61"/>
      <c r="V82" s="61"/>
    </row>
    <row r="83" spans="1:22" s="30" customFormat="1" hidden="1">
      <c r="A83" s="139"/>
      <c r="B83" s="139"/>
      <c r="C83" s="139"/>
      <c r="D83" s="139"/>
      <c r="I83" s="96"/>
      <c r="J83" s="97"/>
      <c r="K83" s="97"/>
      <c r="L83" s="139"/>
      <c r="M83" s="139"/>
      <c r="N83" s="61"/>
      <c r="O83" s="61"/>
      <c r="P83" s="61"/>
      <c r="Q83" s="61"/>
      <c r="R83" s="61"/>
      <c r="S83" s="61"/>
      <c r="T83" s="61"/>
      <c r="U83" s="61"/>
      <c r="V83" s="61"/>
    </row>
    <row r="84" spans="1:22" s="30" customFormat="1" hidden="1">
      <c r="A84" s="139"/>
      <c r="B84" s="139"/>
      <c r="C84" s="139"/>
      <c r="D84" s="139"/>
      <c r="I84" s="96"/>
      <c r="J84" s="97"/>
      <c r="K84" s="97"/>
      <c r="L84" s="139"/>
      <c r="M84" s="139"/>
      <c r="N84" s="61"/>
      <c r="O84" s="61"/>
      <c r="P84" s="61"/>
      <c r="Q84" s="61"/>
      <c r="R84" s="61"/>
      <c r="S84" s="61"/>
      <c r="T84" s="61"/>
      <c r="U84" s="61"/>
      <c r="V84" s="61"/>
    </row>
    <row r="85" spans="1:22" s="30" customFormat="1" hidden="1">
      <c r="A85" s="139"/>
      <c r="B85" s="139"/>
      <c r="C85" s="139"/>
      <c r="D85" s="139"/>
      <c r="I85" s="96"/>
      <c r="J85" s="97"/>
      <c r="K85" s="97"/>
      <c r="L85" s="139"/>
      <c r="M85" s="139"/>
      <c r="N85" s="61"/>
      <c r="O85" s="61"/>
      <c r="P85" s="61"/>
      <c r="Q85" s="61"/>
      <c r="R85" s="61"/>
      <c r="S85" s="61"/>
      <c r="T85" s="61"/>
      <c r="U85" s="61"/>
      <c r="V85" s="61"/>
    </row>
    <row r="86" spans="1:22" s="30" customFormat="1" hidden="1">
      <c r="A86" s="139"/>
      <c r="B86" s="139"/>
      <c r="C86" s="139"/>
      <c r="D86" s="139"/>
      <c r="I86" s="96"/>
      <c r="J86" s="97"/>
      <c r="K86" s="97"/>
      <c r="L86" s="139"/>
      <c r="M86" s="139"/>
      <c r="N86" s="61"/>
      <c r="O86" s="61"/>
      <c r="P86" s="61"/>
      <c r="Q86" s="61"/>
      <c r="R86" s="61"/>
      <c r="S86" s="61"/>
      <c r="T86" s="61"/>
      <c r="U86" s="61"/>
      <c r="V86" s="61"/>
    </row>
    <row r="87" spans="1:22" s="30" customFormat="1" hidden="1">
      <c r="A87" s="139"/>
      <c r="B87" s="139"/>
      <c r="C87" s="139"/>
      <c r="D87" s="139"/>
      <c r="I87" s="96"/>
      <c r="J87" s="97"/>
      <c r="K87" s="97"/>
      <c r="L87" s="139"/>
      <c r="M87" s="139"/>
      <c r="N87" s="61"/>
      <c r="O87" s="61"/>
      <c r="P87" s="61"/>
      <c r="Q87" s="61"/>
      <c r="R87" s="61"/>
      <c r="S87" s="61"/>
      <c r="T87" s="61"/>
      <c r="U87" s="61"/>
      <c r="V87" s="61"/>
    </row>
    <row r="88" spans="1:22" s="30" customFormat="1" hidden="1">
      <c r="A88" s="139"/>
      <c r="B88" s="139"/>
      <c r="C88" s="139"/>
      <c r="D88" s="139"/>
      <c r="I88" s="96"/>
      <c r="J88" s="97"/>
      <c r="K88" s="97"/>
      <c r="L88" s="139"/>
      <c r="M88" s="139"/>
      <c r="N88" s="61"/>
      <c r="O88" s="61"/>
      <c r="P88" s="61"/>
      <c r="Q88" s="61"/>
      <c r="R88" s="61"/>
      <c r="S88" s="61"/>
      <c r="T88" s="61"/>
      <c r="U88" s="61"/>
      <c r="V88" s="61"/>
    </row>
    <row r="89" spans="1:22" s="30" customFormat="1" hidden="1">
      <c r="A89" s="139"/>
      <c r="B89" s="139"/>
      <c r="C89" s="139"/>
      <c r="D89" s="139"/>
      <c r="I89" s="96"/>
      <c r="J89" s="97"/>
      <c r="K89" s="97"/>
      <c r="L89" s="139"/>
      <c r="M89" s="139"/>
      <c r="N89" s="61"/>
      <c r="O89" s="61"/>
      <c r="P89" s="61"/>
      <c r="Q89" s="61"/>
      <c r="R89" s="61"/>
      <c r="S89" s="61"/>
      <c r="T89" s="61"/>
      <c r="U89" s="61"/>
      <c r="V89" s="61"/>
    </row>
    <row r="90" spans="1:22" s="30" customFormat="1" hidden="1">
      <c r="A90" s="139"/>
      <c r="B90" s="139"/>
      <c r="C90" s="139"/>
      <c r="D90" s="139"/>
      <c r="I90" s="96"/>
      <c r="J90" s="97"/>
      <c r="K90" s="97"/>
      <c r="L90" s="139"/>
      <c r="M90" s="139"/>
      <c r="N90" s="61"/>
      <c r="O90" s="61"/>
      <c r="P90" s="61"/>
      <c r="Q90" s="61"/>
      <c r="R90" s="61"/>
      <c r="S90" s="61"/>
      <c r="T90" s="61"/>
      <c r="U90" s="61"/>
      <c r="V90" s="61"/>
    </row>
    <row r="91" spans="1:22" s="30" customFormat="1" hidden="1">
      <c r="A91" s="139"/>
      <c r="B91" s="139"/>
      <c r="C91" s="139"/>
      <c r="D91" s="139"/>
      <c r="I91" s="96"/>
      <c r="J91" s="97"/>
      <c r="K91" s="97"/>
      <c r="L91" s="139"/>
      <c r="M91" s="139"/>
      <c r="N91" s="61"/>
      <c r="O91" s="61"/>
      <c r="P91" s="61"/>
      <c r="Q91" s="61"/>
      <c r="R91" s="61"/>
      <c r="S91" s="61"/>
      <c r="T91" s="61"/>
      <c r="U91" s="61"/>
      <c r="V91" s="61"/>
    </row>
    <row r="92" spans="1:22" s="30" customFormat="1" hidden="1">
      <c r="A92" s="139"/>
      <c r="B92" s="139"/>
      <c r="C92" s="139"/>
      <c r="D92" s="139"/>
      <c r="I92" s="96"/>
      <c r="J92" s="97"/>
      <c r="K92" s="97"/>
      <c r="L92" s="139"/>
      <c r="M92" s="139"/>
      <c r="N92" s="61"/>
      <c r="O92" s="61"/>
      <c r="P92" s="61"/>
      <c r="Q92" s="61"/>
      <c r="R92" s="61"/>
      <c r="S92" s="61"/>
      <c r="T92" s="61"/>
      <c r="U92" s="61"/>
      <c r="V92" s="61"/>
    </row>
    <row r="93" spans="1:22" s="30" customFormat="1" hidden="1">
      <c r="A93" s="139"/>
      <c r="B93" s="139"/>
      <c r="C93" s="139"/>
      <c r="D93" s="139"/>
      <c r="I93" s="96"/>
      <c r="J93" s="97"/>
      <c r="K93" s="97"/>
      <c r="L93" s="139"/>
      <c r="M93" s="139"/>
      <c r="N93" s="61"/>
      <c r="O93" s="61"/>
      <c r="P93" s="61"/>
      <c r="Q93" s="61"/>
      <c r="R93" s="61"/>
      <c r="S93" s="61"/>
      <c r="T93" s="61"/>
      <c r="U93" s="61"/>
      <c r="V93" s="61"/>
    </row>
    <row r="94" spans="1:22" s="30" customFormat="1" hidden="1">
      <c r="A94" s="139"/>
      <c r="B94" s="139"/>
      <c r="C94" s="139"/>
      <c r="D94" s="139"/>
      <c r="I94" s="96"/>
      <c r="J94" s="97"/>
      <c r="K94" s="97"/>
      <c r="L94" s="139"/>
      <c r="M94" s="139"/>
      <c r="N94" s="61"/>
      <c r="O94" s="61"/>
      <c r="P94" s="61"/>
      <c r="Q94" s="61"/>
      <c r="R94" s="61"/>
      <c r="S94" s="61"/>
      <c r="T94" s="61"/>
      <c r="U94" s="61"/>
      <c r="V94" s="61"/>
    </row>
    <row r="95" spans="1:22" s="30" customFormat="1" hidden="1">
      <c r="A95" s="139"/>
      <c r="B95" s="139"/>
      <c r="C95" s="139"/>
      <c r="D95" s="139"/>
      <c r="I95" s="96"/>
      <c r="J95" s="97"/>
      <c r="K95" s="97"/>
      <c r="L95" s="139"/>
      <c r="M95" s="139"/>
      <c r="N95" s="61"/>
      <c r="O95" s="61"/>
      <c r="P95" s="61"/>
      <c r="Q95" s="61"/>
      <c r="R95" s="61"/>
      <c r="S95" s="61"/>
      <c r="T95" s="61"/>
      <c r="U95" s="61"/>
      <c r="V95" s="61"/>
    </row>
    <row r="96" spans="1:22" s="30" customFormat="1" hidden="1">
      <c r="A96" s="139"/>
      <c r="B96" s="139"/>
      <c r="C96" s="139"/>
      <c r="D96" s="139"/>
      <c r="I96" s="96"/>
      <c r="J96" s="97"/>
      <c r="K96" s="97"/>
      <c r="L96" s="139"/>
      <c r="M96" s="139"/>
      <c r="N96" s="61"/>
      <c r="O96" s="61"/>
      <c r="P96" s="61"/>
      <c r="Q96" s="61"/>
      <c r="R96" s="61"/>
      <c r="S96" s="61"/>
      <c r="T96" s="61"/>
      <c r="U96" s="61"/>
      <c r="V96" s="61"/>
    </row>
    <row r="97" spans="1:22" s="30" customFormat="1" hidden="1">
      <c r="A97" s="139"/>
      <c r="B97" s="139"/>
      <c r="C97" s="139"/>
      <c r="D97" s="139"/>
      <c r="I97" s="96"/>
      <c r="J97" s="97"/>
      <c r="K97" s="97"/>
      <c r="L97" s="139"/>
      <c r="M97" s="139"/>
      <c r="N97" s="61"/>
      <c r="O97" s="61"/>
      <c r="P97" s="61"/>
      <c r="Q97" s="61"/>
      <c r="R97" s="61"/>
      <c r="S97" s="61"/>
      <c r="T97" s="61"/>
      <c r="U97" s="61"/>
      <c r="V97" s="61"/>
    </row>
    <row r="98" spans="1:22" s="30" customFormat="1" hidden="1">
      <c r="A98" s="139"/>
      <c r="B98" s="139"/>
      <c r="C98" s="139"/>
      <c r="D98" s="139"/>
      <c r="I98" s="96"/>
      <c r="J98" s="97"/>
      <c r="K98" s="97"/>
      <c r="L98" s="139"/>
      <c r="M98" s="139"/>
      <c r="N98" s="61"/>
      <c r="O98" s="61"/>
      <c r="P98" s="61"/>
      <c r="Q98" s="61"/>
      <c r="R98" s="61"/>
      <c r="S98" s="61"/>
      <c r="T98" s="61"/>
      <c r="U98" s="61"/>
      <c r="V98" s="61"/>
    </row>
    <row r="99" spans="1:22" s="30" customFormat="1" hidden="1">
      <c r="A99" s="139"/>
      <c r="B99" s="139"/>
      <c r="C99" s="139"/>
      <c r="D99" s="139"/>
      <c r="I99" s="96"/>
      <c r="J99" s="97"/>
      <c r="K99" s="97"/>
      <c r="L99" s="139"/>
      <c r="M99" s="139"/>
      <c r="N99" s="61"/>
      <c r="O99" s="61"/>
      <c r="P99" s="61"/>
      <c r="Q99" s="61"/>
      <c r="R99" s="61"/>
      <c r="S99" s="61"/>
      <c r="T99" s="61"/>
      <c r="U99" s="61"/>
      <c r="V99" s="61"/>
    </row>
    <row r="100" spans="1:22" s="30" customFormat="1" hidden="1">
      <c r="A100" s="139"/>
      <c r="B100" s="139"/>
      <c r="C100" s="139"/>
      <c r="D100" s="139"/>
      <c r="I100" s="96"/>
      <c r="J100" s="97"/>
      <c r="K100" s="97"/>
      <c r="L100" s="139"/>
      <c r="M100" s="139"/>
      <c r="N100" s="61"/>
      <c r="O100" s="61"/>
      <c r="P100" s="61"/>
      <c r="Q100" s="61"/>
      <c r="R100" s="61"/>
      <c r="S100" s="61"/>
      <c r="T100" s="61"/>
      <c r="U100" s="61"/>
      <c r="V100" s="61"/>
    </row>
    <row r="101" spans="1:22" s="30" customFormat="1" hidden="1">
      <c r="A101" s="139"/>
      <c r="B101" s="139"/>
      <c r="C101" s="139"/>
      <c r="D101" s="139"/>
      <c r="I101" s="96"/>
      <c r="J101" s="97"/>
      <c r="K101" s="97"/>
      <c r="L101" s="139"/>
      <c r="M101" s="139"/>
      <c r="N101" s="61"/>
      <c r="O101" s="61"/>
      <c r="P101" s="61"/>
      <c r="Q101" s="61"/>
      <c r="R101" s="61"/>
      <c r="S101" s="61"/>
      <c r="T101" s="61"/>
      <c r="U101" s="61"/>
      <c r="V101" s="61"/>
    </row>
    <row r="102" spans="1:22" s="30" customFormat="1" hidden="1">
      <c r="A102" s="139"/>
      <c r="B102" s="139"/>
      <c r="C102" s="139"/>
      <c r="D102" s="139"/>
      <c r="I102" s="96"/>
      <c r="J102" s="97"/>
      <c r="K102" s="97"/>
      <c r="L102" s="139"/>
      <c r="M102" s="139"/>
      <c r="N102" s="61"/>
      <c r="O102" s="61"/>
      <c r="P102" s="61"/>
      <c r="Q102" s="61"/>
      <c r="R102" s="61"/>
      <c r="S102" s="61"/>
      <c r="T102" s="61"/>
      <c r="U102" s="61"/>
      <c r="V102" s="61"/>
    </row>
    <row r="103" spans="1:22" s="30" customFormat="1" hidden="1">
      <c r="A103" s="139"/>
      <c r="B103" s="139"/>
      <c r="C103" s="139"/>
      <c r="D103" s="139"/>
      <c r="I103" s="96"/>
      <c r="J103" s="97"/>
      <c r="K103" s="97"/>
      <c r="L103" s="139"/>
      <c r="M103" s="139"/>
      <c r="N103" s="61"/>
      <c r="O103" s="61"/>
      <c r="P103" s="61"/>
      <c r="Q103" s="61"/>
      <c r="R103" s="61"/>
      <c r="S103" s="61"/>
      <c r="T103" s="61"/>
      <c r="U103" s="61"/>
      <c r="V103" s="61"/>
    </row>
    <row r="104" spans="1:22" s="30" customFormat="1" hidden="1">
      <c r="A104" s="139"/>
      <c r="B104" s="139"/>
      <c r="C104" s="139"/>
      <c r="D104" s="139"/>
      <c r="I104" s="96"/>
      <c r="J104" s="97"/>
      <c r="K104" s="97"/>
      <c r="L104" s="139"/>
      <c r="M104" s="139"/>
    </row>
    <row r="105" spans="1:22" s="30" customFormat="1" hidden="1">
      <c r="A105" s="139"/>
      <c r="B105" s="139"/>
      <c r="C105" s="139"/>
      <c r="D105" s="139"/>
      <c r="I105" s="96"/>
      <c r="J105" s="97"/>
      <c r="K105" s="97"/>
      <c r="L105" s="139"/>
      <c r="M105" s="139"/>
    </row>
    <row r="106" spans="1:22" s="30" customFormat="1" hidden="1">
      <c r="A106" s="139"/>
      <c r="B106" s="139"/>
      <c r="C106" s="139"/>
      <c r="D106" s="139"/>
      <c r="I106" s="96"/>
      <c r="J106" s="97"/>
      <c r="K106" s="97"/>
      <c r="L106" s="139"/>
      <c r="M106" s="139"/>
    </row>
    <row r="107" spans="1:22" s="30" customFormat="1" hidden="1">
      <c r="A107" s="139"/>
      <c r="B107" s="139"/>
      <c r="C107" s="139"/>
      <c r="D107" s="139"/>
      <c r="I107" s="96"/>
      <c r="J107" s="97"/>
      <c r="K107" s="97"/>
      <c r="L107" s="139"/>
      <c r="M107" s="139"/>
    </row>
    <row r="108" spans="1:22" s="30" customFormat="1" hidden="1">
      <c r="A108" s="139"/>
      <c r="B108" s="139"/>
      <c r="C108" s="139"/>
      <c r="D108" s="139"/>
      <c r="I108" s="96"/>
      <c r="J108" s="97"/>
      <c r="K108" s="97"/>
      <c r="L108" s="139"/>
      <c r="M108" s="139"/>
    </row>
    <row r="109" spans="1:22" s="30" customFormat="1" hidden="1">
      <c r="A109" s="139"/>
      <c r="B109" s="139"/>
      <c r="C109" s="139"/>
      <c r="D109" s="139"/>
      <c r="I109" s="96"/>
      <c r="J109" s="97"/>
      <c r="K109" s="97"/>
      <c r="L109" s="139"/>
      <c r="M109" s="139"/>
    </row>
    <row r="110" spans="1:22" s="30" customFormat="1" hidden="1">
      <c r="A110" s="139"/>
      <c r="B110" s="139"/>
      <c r="C110" s="139"/>
      <c r="D110" s="139"/>
      <c r="I110" s="96"/>
      <c r="J110" s="97"/>
      <c r="K110" s="97"/>
      <c r="L110" s="139"/>
      <c r="M110" s="139"/>
    </row>
    <row r="111" spans="1:22" s="30" customFormat="1" hidden="1">
      <c r="A111" s="139"/>
      <c r="B111" s="139"/>
      <c r="C111" s="139"/>
      <c r="D111" s="139"/>
      <c r="I111" s="96"/>
      <c r="J111" s="97"/>
      <c r="K111" s="97"/>
      <c r="L111" s="139"/>
      <c r="M111" s="139"/>
    </row>
    <row r="112" spans="1:22" s="30" customFormat="1" hidden="1">
      <c r="A112" s="139"/>
      <c r="B112" s="139"/>
      <c r="C112" s="139"/>
      <c r="D112" s="139"/>
      <c r="I112" s="96"/>
      <c r="J112" s="97"/>
      <c r="K112" s="97"/>
      <c r="L112" s="139"/>
      <c r="M112" s="139"/>
    </row>
    <row r="113" spans="1:13" s="30" customFormat="1" hidden="1">
      <c r="A113" s="139"/>
      <c r="B113" s="139"/>
      <c r="C113" s="139"/>
      <c r="D113" s="139"/>
      <c r="I113" s="96"/>
      <c r="J113" s="97"/>
      <c r="K113" s="97"/>
      <c r="L113" s="139"/>
      <c r="M113" s="139"/>
    </row>
    <row r="114" spans="1:13" s="30" customFormat="1" hidden="1">
      <c r="A114" s="139"/>
      <c r="B114" s="139"/>
      <c r="C114" s="139"/>
      <c r="D114" s="139"/>
      <c r="I114" s="96"/>
      <c r="J114" s="97"/>
      <c r="K114" s="97"/>
      <c r="L114" s="139"/>
      <c r="M114" s="139"/>
    </row>
    <row r="115" spans="1:13" s="30" customFormat="1" hidden="1">
      <c r="A115" s="139"/>
      <c r="B115" s="139"/>
      <c r="C115" s="139"/>
      <c r="D115" s="139"/>
      <c r="I115" s="96"/>
      <c r="J115" s="97"/>
      <c r="K115" s="97"/>
      <c r="L115" s="139"/>
      <c r="M115" s="139"/>
    </row>
    <row r="116" spans="1:13" s="30" customFormat="1" hidden="1">
      <c r="A116" s="139"/>
      <c r="B116" s="139"/>
      <c r="C116" s="139"/>
      <c r="D116" s="139"/>
      <c r="I116" s="96"/>
      <c r="J116" s="97"/>
      <c r="K116" s="97"/>
      <c r="L116" s="139"/>
      <c r="M116" s="139"/>
    </row>
    <row r="117" spans="1:13" s="30" customFormat="1" hidden="1">
      <c r="A117" s="139"/>
      <c r="B117" s="139"/>
      <c r="C117" s="139"/>
      <c r="D117" s="139"/>
      <c r="I117" s="96"/>
      <c r="J117" s="97"/>
      <c r="K117" s="97"/>
      <c r="L117" s="139"/>
      <c r="M117" s="139"/>
    </row>
    <row r="118" spans="1:13" s="30" customFormat="1" hidden="1">
      <c r="A118" s="139"/>
      <c r="B118" s="139"/>
      <c r="C118" s="139"/>
      <c r="D118" s="139"/>
      <c r="I118" s="96"/>
      <c r="J118" s="97"/>
      <c r="K118" s="97"/>
      <c r="L118" s="139"/>
      <c r="M118" s="139"/>
    </row>
    <row r="119" spans="1:13" s="30" customFormat="1" hidden="1">
      <c r="A119" s="139"/>
      <c r="B119" s="139"/>
      <c r="C119" s="139"/>
      <c r="D119" s="139"/>
      <c r="I119" s="96"/>
      <c r="J119" s="97"/>
      <c r="K119" s="97"/>
      <c r="L119" s="139"/>
      <c r="M119" s="139"/>
    </row>
    <row r="120" spans="1:13" s="30" customFormat="1" hidden="1">
      <c r="A120" s="139"/>
      <c r="B120" s="139"/>
      <c r="C120" s="139"/>
      <c r="D120" s="139"/>
      <c r="I120" s="96"/>
      <c r="J120" s="97"/>
      <c r="K120" s="97"/>
      <c r="L120" s="139"/>
      <c r="M120" s="139"/>
    </row>
    <row r="121" spans="1:13" s="30" customFormat="1" hidden="1">
      <c r="A121" s="139"/>
      <c r="B121" s="139"/>
      <c r="C121" s="139"/>
      <c r="D121" s="139"/>
      <c r="I121" s="96"/>
      <c r="J121" s="97"/>
      <c r="K121" s="97"/>
      <c r="L121" s="139"/>
      <c r="M121" s="139"/>
    </row>
    <row r="122" spans="1:13" s="30" customFormat="1" hidden="1">
      <c r="A122" s="139"/>
      <c r="B122" s="139"/>
      <c r="C122" s="139"/>
      <c r="D122" s="139"/>
      <c r="I122" s="96"/>
      <c r="J122" s="97"/>
      <c r="K122" s="97"/>
      <c r="L122" s="139"/>
      <c r="M122" s="139"/>
    </row>
    <row r="123" spans="1:13" s="30" customFormat="1" hidden="1">
      <c r="A123" s="139"/>
      <c r="B123" s="139"/>
      <c r="C123" s="139"/>
      <c r="D123" s="139"/>
      <c r="I123" s="96"/>
      <c r="J123" s="97"/>
      <c r="K123" s="97"/>
      <c r="L123" s="139"/>
      <c r="M123" s="139"/>
    </row>
    <row r="124" spans="1:13" s="30" customFormat="1" hidden="1">
      <c r="A124" s="139"/>
      <c r="B124" s="139"/>
      <c r="C124" s="139"/>
      <c r="D124" s="139"/>
      <c r="I124" s="96"/>
      <c r="J124" s="97"/>
      <c r="K124" s="97"/>
      <c r="L124" s="139"/>
      <c r="M124" s="139"/>
    </row>
    <row r="125" spans="1:13" s="30" customFormat="1" hidden="1">
      <c r="A125" s="139"/>
      <c r="B125" s="139"/>
      <c r="C125" s="139"/>
      <c r="D125" s="139"/>
      <c r="I125" s="96"/>
      <c r="J125" s="97"/>
      <c r="K125" s="97"/>
      <c r="L125" s="139"/>
      <c r="M125" s="139"/>
    </row>
    <row r="126" spans="1:13" s="30" customFormat="1" hidden="1">
      <c r="A126" s="139"/>
      <c r="B126" s="139"/>
      <c r="C126" s="139"/>
      <c r="D126" s="139"/>
      <c r="I126" s="96"/>
      <c r="J126" s="97"/>
      <c r="K126" s="97"/>
      <c r="L126" s="139"/>
      <c r="M126" s="139"/>
    </row>
    <row r="127" spans="1:13" s="30" customFormat="1" hidden="1">
      <c r="A127" s="139"/>
      <c r="B127" s="139"/>
      <c r="C127" s="139"/>
      <c r="D127" s="139"/>
      <c r="I127" s="96"/>
      <c r="J127" s="97"/>
      <c r="K127" s="97"/>
      <c r="L127" s="139"/>
      <c r="M127" s="139"/>
    </row>
    <row r="128" spans="1:13" s="30" customFormat="1" hidden="1">
      <c r="A128" s="139"/>
      <c r="B128" s="139"/>
      <c r="C128" s="139"/>
      <c r="D128" s="139"/>
      <c r="I128" s="96"/>
      <c r="J128" s="97"/>
      <c r="K128" s="97"/>
      <c r="L128" s="139"/>
      <c r="M128" s="139"/>
    </row>
    <row r="129" spans="1:13" s="30" customFormat="1" hidden="1">
      <c r="A129" s="139"/>
      <c r="B129" s="139"/>
      <c r="C129" s="139"/>
      <c r="D129" s="139"/>
      <c r="I129" s="96"/>
      <c r="J129" s="97"/>
      <c r="K129" s="97"/>
      <c r="L129" s="139"/>
      <c r="M129" s="139"/>
    </row>
    <row r="130" spans="1:13" s="30" customFormat="1" hidden="1">
      <c r="A130" s="139"/>
      <c r="B130" s="139"/>
      <c r="C130" s="139"/>
      <c r="D130" s="139"/>
      <c r="I130" s="96"/>
      <c r="J130" s="97"/>
      <c r="K130" s="97"/>
      <c r="L130" s="139"/>
      <c r="M130" s="139"/>
    </row>
    <row r="131" spans="1:13" s="30" customFormat="1" hidden="1">
      <c r="A131" s="139"/>
      <c r="B131" s="139"/>
      <c r="C131" s="139"/>
      <c r="D131" s="139"/>
      <c r="I131" s="96"/>
      <c r="J131" s="97"/>
      <c r="K131" s="97"/>
      <c r="L131" s="139"/>
      <c r="M131" s="139"/>
    </row>
    <row r="132" spans="1:13" s="30" customFormat="1" hidden="1">
      <c r="A132" s="139"/>
      <c r="B132" s="139"/>
      <c r="C132" s="139"/>
      <c r="D132" s="139"/>
      <c r="I132" s="96"/>
      <c r="J132" s="97"/>
      <c r="K132" s="97"/>
      <c r="L132" s="139"/>
      <c r="M132" s="139"/>
    </row>
    <row r="133" spans="1:13" s="30" customFormat="1" hidden="1">
      <c r="A133" s="139"/>
      <c r="B133" s="139"/>
      <c r="C133" s="139"/>
      <c r="D133" s="139"/>
      <c r="I133" s="96"/>
      <c r="J133" s="97"/>
      <c r="K133" s="97"/>
      <c r="L133" s="139"/>
      <c r="M133" s="139"/>
    </row>
    <row r="134" spans="1:13" s="30" customFormat="1" hidden="1">
      <c r="A134" s="139"/>
      <c r="B134" s="139"/>
      <c r="C134" s="139"/>
      <c r="D134" s="139"/>
      <c r="I134" s="96"/>
      <c r="J134" s="97"/>
      <c r="K134" s="97"/>
      <c r="L134" s="139"/>
      <c r="M134" s="139"/>
    </row>
    <row r="135" spans="1:13" s="30" customFormat="1" hidden="1">
      <c r="A135" s="139"/>
      <c r="B135" s="139"/>
      <c r="C135" s="139"/>
      <c r="D135" s="139"/>
      <c r="I135" s="96"/>
      <c r="J135" s="97"/>
      <c r="K135" s="97"/>
      <c r="L135" s="139"/>
      <c r="M135" s="139"/>
    </row>
    <row r="136" spans="1:13" s="30" customFormat="1" hidden="1">
      <c r="A136" s="139"/>
      <c r="B136" s="139"/>
      <c r="C136" s="139"/>
      <c r="D136" s="139"/>
      <c r="I136" s="96"/>
      <c r="J136" s="97"/>
      <c r="K136" s="97"/>
      <c r="L136" s="139"/>
      <c r="M136" s="139"/>
    </row>
    <row r="137" spans="1:13" s="30" customFormat="1" hidden="1">
      <c r="A137" s="139"/>
      <c r="B137" s="139"/>
      <c r="C137" s="139"/>
      <c r="D137" s="139"/>
      <c r="I137" s="96"/>
      <c r="J137" s="97"/>
      <c r="K137" s="97"/>
      <c r="L137" s="139"/>
      <c r="M137" s="139"/>
    </row>
    <row r="138" spans="1:13" s="30" customFormat="1" hidden="1">
      <c r="A138" s="139"/>
      <c r="B138" s="139"/>
      <c r="C138" s="139"/>
      <c r="D138" s="139"/>
      <c r="I138" s="96"/>
      <c r="J138" s="97"/>
      <c r="K138" s="97"/>
      <c r="L138" s="139"/>
      <c r="M138" s="139"/>
    </row>
    <row r="139" spans="1:13" s="30" customFormat="1" hidden="1">
      <c r="A139" s="139"/>
      <c r="B139" s="139"/>
      <c r="C139" s="139"/>
      <c r="D139" s="139"/>
      <c r="I139" s="96"/>
      <c r="J139" s="97"/>
      <c r="K139" s="97"/>
      <c r="L139" s="139"/>
      <c r="M139" s="139"/>
    </row>
    <row r="140" spans="1:13" s="30" customFormat="1" hidden="1">
      <c r="A140" s="139"/>
      <c r="B140" s="139"/>
      <c r="C140" s="139"/>
      <c r="D140" s="139"/>
      <c r="I140" s="96"/>
      <c r="J140" s="97"/>
      <c r="K140" s="97"/>
      <c r="L140" s="139"/>
      <c r="M140" s="139"/>
    </row>
    <row r="141" spans="1:13" s="30" customFormat="1" hidden="1">
      <c r="A141" s="139"/>
      <c r="B141" s="139"/>
      <c r="C141" s="139"/>
      <c r="D141" s="139"/>
      <c r="I141" s="96"/>
      <c r="J141" s="97"/>
      <c r="K141" s="97"/>
      <c r="L141" s="139"/>
      <c r="M141" s="139"/>
    </row>
    <row r="142" spans="1:13" s="30" customFormat="1" hidden="1">
      <c r="A142" s="139"/>
      <c r="B142" s="139"/>
      <c r="C142" s="139"/>
      <c r="D142" s="139"/>
      <c r="I142" s="96"/>
      <c r="J142" s="97"/>
      <c r="K142" s="97"/>
      <c r="L142" s="139"/>
      <c r="M142" s="139"/>
    </row>
    <row r="143" spans="1:13" s="30" customFormat="1" hidden="1">
      <c r="A143" s="139"/>
      <c r="B143" s="139"/>
      <c r="C143" s="139"/>
      <c r="D143" s="139"/>
      <c r="I143" s="96"/>
      <c r="J143" s="97"/>
      <c r="K143" s="97"/>
      <c r="L143" s="139"/>
      <c r="M143" s="139"/>
    </row>
    <row r="144" spans="1:13" s="30" customFormat="1" hidden="1">
      <c r="A144" s="139"/>
      <c r="B144" s="139"/>
      <c r="C144" s="139"/>
      <c r="D144" s="139"/>
      <c r="I144" s="96"/>
      <c r="J144" s="97"/>
      <c r="K144" s="97"/>
      <c r="L144" s="139"/>
      <c r="M144" s="139"/>
    </row>
    <row r="145" spans="1:13" s="30" customFormat="1" hidden="1">
      <c r="A145" s="139"/>
      <c r="B145" s="139"/>
      <c r="C145" s="139"/>
      <c r="D145" s="139"/>
      <c r="I145" s="96"/>
      <c r="J145" s="97"/>
      <c r="K145" s="97"/>
      <c r="L145" s="139"/>
      <c r="M145" s="139"/>
    </row>
    <row r="146" spans="1:13" s="30" customFormat="1" hidden="1">
      <c r="A146" s="139"/>
      <c r="B146" s="139"/>
      <c r="C146" s="139"/>
      <c r="D146" s="139"/>
      <c r="I146" s="96"/>
      <c r="J146" s="97"/>
      <c r="K146" s="97"/>
      <c r="L146" s="139"/>
      <c r="M146" s="139"/>
    </row>
    <row r="147" spans="1:13" s="30" customFormat="1" hidden="1">
      <c r="A147" s="139"/>
      <c r="B147" s="139"/>
      <c r="C147" s="139"/>
      <c r="D147" s="139"/>
      <c r="I147" s="96"/>
      <c r="J147" s="90"/>
      <c r="K147" s="90"/>
      <c r="L147" s="139"/>
      <c r="M147" s="139"/>
    </row>
    <row r="148" spans="1:13" s="30" customFormat="1" hidden="1">
      <c r="A148" s="139"/>
      <c r="B148" s="139"/>
      <c r="C148" s="139"/>
      <c r="D148" s="139"/>
      <c r="I148" s="96"/>
      <c r="J148" s="97"/>
      <c r="K148" s="97"/>
      <c r="L148" s="139"/>
      <c r="M148" s="139"/>
    </row>
    <row r="149" spans="1:13" s="30" customFormat="1" hidden="1">
      <c r="A149" s="139"/>
      <c r="B149" s="139"/>
      <c r="C149" s="139"/>
      <c r="D149" s="139"/>
      <c r="I149" s="96"/>
      <c r="J149" s="97"/>
      <c r="K149" s="97"/>
      <c r="L149" s="139"/>
      <c r="M149" s="139"/>
    </row>
    <row r="150" spans="1:13" s="30" customFormat="1" hidden="1">
      <c r="A150" s="139"/>
      <c r="B150" s="139"/>
      <c r="C150" s="139"/>
      <c r="D150" s="139"/>
      <c r="I150" s="96"/>
      <c r="J150" s="97"/>
      <c r="K150" s="97"/>
      <c r="L150" s="139"/>
      <c r="M150" s="139"/>
    </row>
    <row r="151" spans="1:13" s="30" customFormat="1" hidden="1">
      <c r="A151" s="139"/>
      <c r="B151" s="139"/>
      <c r="C151" s="139"/>
      <c r="D151" s="139"/>
      <c r="I151" s="96"/>
      <c r="J151" s="97"/>
      <c r="K151" s="97"/>
      <c r="L151" s="139"/>
      <c r="M151" s="139"/>
    </row>
    <row r="152" spans="1:13" s="30" customFormat="1" hidden="1">
      <c r="A152" s="139"/>
      <c r="B152" s="139"/>
      <c r="C152" s="139"/>
      <c r="D152" s="139"/>
      <c r="I152" s="96"/>
      <c r="J152" s="97"/>
      <c r="K152" s="97"/>
      <c r="L152" s="139"/>
      <c r="M152" s="139"/>
    </row>
    <row r="153" spans="1:13" s="30" customFormat="1" hidden="1">
      <c r="A153" s="139"/>
      <c r="B153" s="139"/>
      <c r="C153" s="139"/>
      <c r="D153" s="139"/>
      <c r="I153" s="96"/>
      <c r="J153" s="97"/>
      <c r="K153" s="97"/>
      <c r="L153" s="139"/>
      <c r="M153" s="139"/>
    </row>
    <row r="154" spans="1:13" s="30" customFormat="1" hidden="1">
      <c r="A154" s="139"/>
      <c r="B154" s="139"/>
      <c r="C154" s="139"/>
      <c r="D154" s="139"/>
      <c r="I154" s="96"/>
      <c r="J154" s="97"/>
      <c r="K154" s="97"/>
      <c r="L154" s="139"/>
      <c r="M154" s="139"/>
    </row>
    <row r="155" spans="1:13" s="30" customFormat="1" hidden="1">
      <c r="A155" s="139"/>
      <c r="B155" s="139"/>
      <c r="C155" s="139"/>
      <c r="D155" s="139"/>
      <c r="I155" s="96"/>
      <c r="J155" s="97"/>
      <c r="K155" s="97"/>
      <c r="L155" s="139"/>
      <c r="M155" s="139"/>
    </row>
    <row r="156" spans="1:13" s="30" customFormat="1" hidden="1">
      <c r="A156" s="139"/>
      <c r="B156" s="139"/>
      <c r="C156" s="139"/>
      <c r="D156" s="139"/>
      <c r="I156" s="96"/>
      <c r="J156" s="97"/>
      <c r="K156" s="97"/>
      <c r="L156" s="139"/>
      <c r="M156" s="139"/>
    </row>
    <row r="157" spans="1:13" s="30" customFormat="1" ht="12.6" hidden="1" customHeight="1">
      <c r="A157" s="139"/>
      <c r="B157" s="139"/>
      <c r="C157" s="139"/>
      <c r="D157" s="139"/>
      <c r="I157" s="96"/>
      <c r="J157" s="97"/>
      <c r="K157" s="97"/>
      <c r="L157" s="139"/>
      <c r="M157" s="139"/>
    </row>
    <row r="158" spans="1:13" s="30" customFormat="1" hidden="1">
      <c r="A158" s="139"/>
      <c r="B158" s="139"/>
      <c r="C158" s="139"/>
      <c r="D158" s="139"/>
      <c r="I158" s="96"/>
      <c r="J158" s="97"/>
      <c r="K158" s="97"/>
      <c r="L158" s="139"/>
      <c r="M158" s="139"/>
    </row>
    <row r="159" spans="1:13" s="30" customFormat="1" hidden="1">
      <c r="A159" s="139"/>
      <c r="B159" s="139"/>
      <c r="C159" s="139"/>
      <c r="D159" s="139"/>
      <c r="I159" s="96"/>
      <c r="J159" s="97"/>
      <c r="K159" s="97"/>
      <c r="L159" s="139"/>
      <c r="M159" s="139"/>
    </row>
    <row r="160" spans="1:13" s="30" customFormat="1" hidden="1">
      <c r="A160" s="139"/>
      <c r="B160" s="139"/>
      <c r="C160" s="139"/>
      <c r="D160" s="139"/>
      <c r="I160" s="96"/>
      <c r="J160" s="97"/>
      <c r="K160" s="97"/>
      <c r="L160" s="139"/>
      <c r="M160" s="139"/>
    </row>
    <row r="161" spans="1:13" s="30" customFormat="1" hidden="1">
      <c r="A161" s="139"/>
      <c r="B161" s="139"/>
      <c r="C161" s="139"/>
      <c r="D161" s="139"/>
      <c r="I161" s="96"/>
      <c r="J161" s="97"/>
      <c r="K161" s="97"/>
      <c r="L161" s="139"/>
      <c r="M161" s="139"/>
    </row>
    <row r="162" spans="1:13" s="30" customFormat="1" hidden="1">
      <c r="A162" s="139"/>
      <c r="B162" s="139"/>
      <c r="C162" s="139"/>
      <c r="D162" s="139"/>
      <c r="I162" s="96"/>
      <c r="J162" s="97"/>
      <c r="K162" s="97"/>
      <c r="L162" s="139"/>
      <c r="M162" s="139"/>
    </row>
    <row r="163" spans="1:13" s="30" customFormat="1" hidden="1">
      <c r="A163" s="139"/>
      <c r="B163" s="139"/>
      <c r="C163" s="139"/>
      <c r="D163" s="139"/>
      <c r="I163" s="96"/>
      <c r="J163" s="97"/>
      <c r="K163" s="97"/>
      <c r="L163" s="139"/>
      <c r="M163" s="139"/>
    </row>
    <row r="164" spans="1:13" s="30" customFormat="1" hidden="1">
      <c r="A164" s="139"/>
      <c r="B164" s="139"/>
      <c r="C164" s="139"/>
      <c r="D164" s="139"/>
      <c r="I164" s="96"/>
      <c r="J164" s="97"/>
      <c r="K164" s="97"/>
      <c r="L164" s="139"/>
      <c r="M164" s="139"/>
    </row>
    <row r="165" spans="1:13" s="30" customFormat="1" hidden="1">
      <c r="A165" s="139"/>
      <c r="B165" s="139"/>
      <c r="C165" s="139"/>
      <c r="D165" s="139"/>
      <c r="I165" s="96"/>
      <c r="J165" s="97"/>
      <c r="K165" s="97"/>
      <c r="L165" s="139"/>
      <c r="M165" s="139"/>
    </row>
    <row r="166" spans="1:13" s="30" customFormat="1" hidden="1">
      <c r="A166" s="139"/>
      <c r="B166" s="139"/>
      <c r="C166" s="139"/>
      <c r="D166" s="139"/>
      <c r="I166" s="96"/>
      <c r="J166" s="97"/>
      <c r="K166" s="97"/>
      <c r="L166" s="139"/>
      <c r="M166" s="139"/>
    </row>
    <row r="167" spans="1:13" s="30" customFormat="1" hidden="1">
      <c r="A167" s="139"/>
      <c r="B167" s="139"/>
      <c r="C167" s="139"/>
      <c r="D167" s="139"/>
      <c r="I167" s="96"/>
      <c r="J167" s="97"/>
      <c r="K167" s="97"/>
      <c r="L167" s="139"/>
      <c r="M167" s="139"/>
    </row>
    <row r="168" spans="1:13" s="30" customFormat="1" hidden="1">
      <c r="A168" s="139"/>
      <c r="B168" s="139"/>
      <c r="C168" s="139"/>
      <c r="D168" s="139"/>
      <c r="I168" s="96"/>
      <c r="J168" s="97"/>
      <c r="K168" s="97"/>
      <c r="L168" s="139"/>
      <c r="M168" s="139"/>
    </row>
    <row r="169" spans="1:13" s="30" customFormat="1" hidden="1">
      <c r="A169" s="139"/>
      <c r="B169" s="139"/>
      <c r="C169" s="139"/>
      <c r="D169" s="139"/>
      <c r="I169" s="96"/>
      <c r="J169" s="97"/>
      <c r="K169" s="97"/>
      <c r="L169" s="139"/>
      <c r="M169" s="139"/>
    </row>
    <row r="170" spans="1:13" s="30" customFormat="1" hidden="1">
      <c r="A170" s="139"/>
      <c r="B170" s="139"/>
      <c r="C170" s="139"/>
      <c r="D170" s="139"/>
      <c r="I170" s="96"/>
      <c r="J170" s="97"/>
      <c r="K170" s="97"/>
      <c r="L170" s="139"/>
      <c r="M170" s="139"/>
    </row>
    <row r="171" spans="1:13" s="30" customFormat="1" hidden="1">
      <c r="A171" s="139"/>
      <c r="B171" s="139"/>
      <c r="C171" s="139"/>
      <c r="D171" s="139"/>
      <c r="I171" s="96"/>
      <c r="J171" s="97"/>
      <c r="K171" s="97"/>
      <c r="L171" s="151"/>
      <c r="M171" s="151"/>
    </row>
    <row r="172" spans="1:13" s="30" customFormat="1" hidden="1">
      <c r="A172" s="139"/>
      <c r="B172" s="139"/>
      <c r="C172" s="139"/>
      <c r="D172" s="139"/>
      <c r="I172" s="96"/>
      <c r="J172" s="97"/>
      <c r="K172" s="97"/>
      <c r="L172" s="151"/>
      <c r="M172" s="151"/>
    </row>
    <row r="173" spans="1:13" s="30" customFormat="1" hidden="1">
      <c r="A173" s="139"/>
      <c r="B173" s="139"/>
      <c r="C173" s="139"/>
      <c r="D173" s="139"/>
      <c r="I173" s="96"/>
      <c r="J173" s="97"/>
      <c r="K173" s="97"/>
      <c r="L173" s="151"/>
      <c r="M173" s="151"/>
    </row>
    <row r="174" spans="1:13" s="30" customFormat="1" hidden="1">
      <c r="A174" s="139"/>
      <c r="B174" s="139"/>
      <c r="C174" s="139"/>
      <c r="D174" s="139"/>
      <c r="I174" s="96"/>
      <c r="J174" s="97"/>
      <c r="K174" s="97"/>
      <c r="L174" s="151"/>
      <c r="M174" s="151"/>
    </row>
    <row r="175" spans="1:13" s="30" customFormat="1" hidden="1">
      <c r="A175" s="139"/>
      <c r="B175" s="139"/>
      <c r="C175" s="139"/>
      <c r="D175" s="139"/>
      <c r="I175" s="96"/>
      <c r="J175" s="97"/>
      <c r="K175" s="97"/>
      <c r="L175" s="151"/>
      <c r="M175" s="151"/>
    </row>
    <row r="176" spans="1:13" s="30" customFormat="1" hidden="1">
      <c r="A176" s="139"/>
      <c r="B176" s="139"/>
      <c r="C176" s="139"/>
      <c r="D176" s="139"/>
      <c r="I176" s="96"/>
      <c r="J176" s="97"/>
      <c r="K176" s="97"/>
      <c r="L176" s="151"/>
      <c r="M176" s="151"/>
    </row>
    <row r="177" spans="1:13" s="30" customFormat="1" hidden="1">
      <c r="A177" s="139"/>
      <c r="B177" s="139"/>
      <c r="C177" s="139"/>
      <c r="D177" s="139"/>
      <c r="I177" s="96"/>
      <c r="J177" s="97"/>
      <c r="K177" s="97"/>
      <c r="L177" s="151"/>
      <c r="M177" s="151"/>
    </row>
    <row r="178" spans="1:13" s="30" customFormat="1" ht="14.45" customHeight="1">
      <c r="I178" s="62"/>
      <c r="J178" s="63"/>
      <c r="K178" s="63"/>
      <c r="L178" s="151"/>
      <c r="M178" s="151"/>
    </row>
    <row r="179" spans="1:13" ht="14.45" customHeight="1">
      <c r="L179" s="151"/>
      <c r="M179" s="151"/>
    </row>
    <row r="180" spans="1:13" ht="14.45" customHeight="1">
      <c r="L180" s="151"/>
      <c r="M180" s="151"/>
    </row>
    <row r="181" spans="1:13" ht="14.25">
      <c r="A181" s="151"/>
      <c r="B181" s="151"/>
      <c r="C181" s="151"/>
      <c r="D181" s="151"/>
      <c r="E181" s="151"/>
      <c r="F181" s="151"/>
      <c r="G181" s="151"/>
      <c r="H181" s="151"/>
      <c r="I181" s="151"/>
      <c r="J181" s="151"/>
      <c r="K181" s="151"/>
      <c r="L181" s="151"/>
      <c r="M181" s="151"/>
    </row>
  </sheetData>
  <sheetProtection algorithmName="SHA-512" hashValue="aYyDupTWdmzIpPjh520qm7Kwb4+8YX1ZxQX08STnRNKO5hbw9yiiS+NbYFTmaz66Hf0djLnshv/J7lSMaJj0+Q==" saltValue="/1VbTWv71XjjGefvUhPzlg==" spinCount="100000" sheet="1" objects="1" scenarios="1" selectLockedCells="1"/>
  <mergeCells count="10">
    <mergeCell ref="L5:M170"/>
    <mergeCell ref="A1:K4"/>
    <mergeCell ref="A8:D177"/>
    <mergeCell ref="L1:M4"/>
    <mergeCell ref="L171:M181"/>
    <mergeCell ref="A181:K181"/>
    <mergeCell ref="A5:A7"/>
    <mergeCell ref="B5:D5"/>
    <mergeCell ref="D6:D7"/>
    <mergeCell ref="I5:K7"/>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47CBD8B-BFA3-44D2-84BC-B844FB899917}">
          <x14:formula1>
            <xm:f>List!$A$1:$A$7</xm:f>
          </x14:formula1>
          <xm:sqref>C6 C7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44699-E336-480E-B8A9-5330252216BA}">
  <sheetPr codeName="Sheet4"/>
  <dimension ref="A1:G288"/>
  <sheetViews>
    <sheetView topLeftCell="A124" workbookViewId="0">
      <selection activeCell="D125" sqref="D125"/>
    </sheetView>
  </sheetViews>
  <sheetFormatPr defaultRowHeight="15"/>
  <cols>
    <col min="1" max="1" width="35.42578125" customWidth="1"/>
    <col min="2" max="2" width="43.42578125" customWidth="1"/>
    <col min="3" max="3" width="34.7109375" customWidth="1"/>
    <col min="4" max="4" width="29.140625" customWidth="1"/>
    <col min="5" max="5" width="33.7109375" customWidth="1"/>
    <col min="6" max="6" width="42.5703125" customWidth="1"/>
    <col min="7" max="7" width="35.5703125" customWidth="1"/>
  </cols>
  <sheetData>
    <row r="1" spans="1:7">
      <c r="A1" s="1" t="s">
        <v>162</v>
      </c>
      <c r="B1" s="1" t="s">
        <v>148</v>
      </c>
      <c r="C1" s="1" t="s">
        <v>149</v>
      </c>
      <c r="D1" s="1" t="s">
        <v>150</v>
      </c>
      <c r="E1" s="1" t="s">
        <v>151</v>
      </c>
      <c r="F1" s="1" t="s">
        <v>152</v>
      </c>
      <c r="G1" s="1" t="s">
        <v>153</v>
      </c>
    </row>
    <row r="2" spans="1:7" ht="92.25" customHeight="1">
      <c r="A2" s="2" t="s">
        <v>215</v>
      </c>
      <c r="B2" s="12" t="s">
        <v>216</v>
      </c>
      <c r="C2" s="10" t="s">
        <v>216</v>
      </c>
      <c r="D2" s="8" t="s">
        <v>367</v>
      </c>
      <c r="E2" s="6" t="s">
        <v>367</v>
      </c>
      <c r="F2" s="64" t="s">
        <v>367</v>
      </c>
      <c r="G2" s="3" t="s">
        <v>367</v>
      </c>
    </row>
    <row r="3" spans="1:7" ht="92.25" customHeight="1">
      <c r="A3" s="2" t="s">
        <v>309</v>
      </c>
      <c r="B3" s="71" t="s">
        <v>303</v>
      </c>
      <c r="C3" s="72" t="s">
        <v>304</v>
      </c>
      <c r="D3" s="73" t="s">
        <v>305</v>
      </c>
      <c r="E3" s="74" t="s">
        <v>306</v>
      </c>
      <c r="F3" s="75" t="s">
        <v>307</v>
      </c>
      <c r="G3" s="76" t="s">
        <v>308</v>
      </c>
    </row>
    <row r="4" spans="1:7" ht="75" customHeight="1">
      <c r="A4" s="2" t="s">
        <v>0</v>
      </c>
      <c r="B4" s="54">
        <v>0.89990000000000003</v>
      </c>
      <c r="C4" s="55">
        <v>0.8</v>
      </c>
      <c r="D4" s="9">
        <v>0.8</v>
      </c>
      <c r="E4" s="49">
        <v>0.89990000000000003</v>
      </c>
      <c r="F4" s="65">
        <v>0.9</v>
      </c>
      <c r="G4" s="4">
        <v>0.8</v>
      </c>
    </row>
    <row r="5" spans="1:7" ht="75">
      <c r="A5" s="2" t="s">
        <v>1</v>
      </c>
      <c r="B5" s="54">
        <v>0.45</v>
      </c>
      <c r="C5" s="11">
        <v>0.49990000000000001</v>
      </c>
      <c r="D5" s="9" t="s">
        <v>442</v>
      </c>
      <c r="E5" s="7">
        <v>0.5</v>
      </c>
      <c r="F5" s="65">
        <v>0.5</v>
      </c>
      <c r="G5" s="4" t="s">
        <v>310</v>
      </c>
    </row>
    <row r="6" spans="1:7" ht="270">
      <c r="A6" s="2" t="s">
        <v>6</v>
      </c>
      <c r="B6" s="12" t="s">
        <v>7</v>
      </c>
      <c r="C6" s="11" t="s">
        <v>276</v>
      </c>
      <c r="D6" s="9" t="s">
        <v>145</v>
      </c>
      <c r="E6" s="7" t="s">
        <v>8</v>
      </c>
      <c r="F6" s="77" t="s">
        <v>8</v>
      </c>
      <c r="G6" s="4" t="s">
        <v>145</v>
      </c>
    </row>
    <row r="7" spans="1:7">
      <c r="A7" s="2" t="s">
        <v>315</v>
      </c>
      <c r="B7" s="12" t="s">
        <v>220</v>
      </c>
      <c r="C7" s="10" t="s">
        <v>5</v>
      </c>
      <c r="D7" s="8" t="s">
        <v>4</v>
      </c>
      <c r="E7" s="6" t="s">
        <v>4</v>
      </c>
      <c r="F7" s="64" t="s">
        <v>5</v>
      </c>
      <c r="G7" s="3" t="s">
        <v>5</v>
      </c>
    </row>
    <row r="8" spans="1:7" ht="60">
      <c r="A8" s="2" t="s">
        <v>316</v>
      </c>
      <c r="B8" s="12" t="s">
        <v>221</v>
      </c>
      <c r="C8" s="10" t="s">
        <v>222</v>
      </c>
      <c r="D8" s="8" t="s">
        <v>222</v>
      </c>
      <c r="E8" s="6" t="s">
        <v>221</v>
      </c>
      <c r="F8" s="64" t="s">
        <v>221</v>
      </c>
      <c r="G8" s="3" t="s">
        <v>221</v>
      </c>
    </row>
    <row r="9" spans="1:7" ht="45">
      <c r="A9" s="2" t="s">
        <v>9</v>
      </c>
      <c r="B9" s="47" t="s">
        <v>223</v>
      </c>
      <c r="C9" s="11" t="s">
        <v>223</v>
      </c>
      <c r="D9" s="48" t="s">
        <v>456</v>
      </c>
      <c r="E9" s="49" t="s">
        <v>10</v>
      </c>
      <c r="F9" s="64" t="s">
        <v>10</v>
      </c>
      <c r="G9" s="50" t="s">
        <v>10</v>
      </c>
    </row>
    <row r="10" spans="1:7" ht="45">
      <c r="A10" s="2" t="s">
        <v>11</v>
      </c>
      <c r="B10" s="12" t="s">
        <v>368</v>
      </c>
      <c r="C10" s="11" t="s">
        <v>368</v>
      </c>
      <c r="D10" s="9" t="s">
        <v>369</v>
      </c>
      <c r="E10" s="7" t="s">
        <v>369</v>
      </c>
      <c r="F10" s="64" t="s">
        <v>369</v>
      </c>
      <c r="G10" s="4" t="s">
        <v>369</v>
      </c>
    </row>
    <row r="11" spans="1:7">
      <c r="A11" s="2" t="s">
        <v>12</v>
      </c>
      <c r="B11" s="12" t="s">
        <v>13</v>
      </c>
      <c r="C11" s="11" t="s">
        <v>13</v>
      </c>
      <c r="D11" s="9" t="s">
        <v>13</v>
      </c>
      <c r="E11" s="7" t="s">
        <v>13</v>
      </c>
      <c r="F11" s="64" t="s">
        <v>13</v>
      </c>
      <c r="G11" s="4" t="s">
        <v>13</v>
      </c>
    </row>
    <row r="12" spans="1:7" ht="30">
      <c r="A12" s="2" t="s">
        <v>14</v>
      </c>
      <c r="B12" s="12" t="s">
        <v>15</v>
      </c>
      <c r="C12" s="10" t="s">
        <v>15</v>
      </c>
      <c r="D12" s="8" t="s">
        <v>224</v>
      </c>
      <c r="E12" s="6" t="s">
        <v>225</v>
      </c>
      <c r="F12" s="64" t="s">
        <v>225</v>
      </c>
      <c r="G12" s="3" t="s">
        <v>225</v>
      </c>
    </row>
    <row r="13" spans="1:7" ht="75">
      <c r="A13" s="2" t="s">
        <v>16</v>
      </c>
      <c r="B13" s="12" t="s">
        <v>372</v>
      </c>
      <c r="C13" s="10" t="s">
        <v>370</v>
      </c>
      <c r="D13" s="8" t="s">
        <v>371</v>
      </c>
      <c r="E13" s="6" t="s">
        <v>372</v>
      </c>
      <c r="F13" s="67" t="s">
        <v>373</v>
      </c>
      <c r="G13" s="3" t="s">
        <v>373</v>
      </c>
    </row>
    <row r="14" spans="1:7" ht="285">
      <c r="A14" s="2" t="s">
        <v>18</v>
      </c>
      <c r="B14" s="12" t="s">
        <v>457</v>
      </c>
      <c r="C14" s="10" t="s">
        <v>19</v>
      </c>
      <c r="D14" s="8" t="s">
        <v>458</v>
      </c>
      <c r="E14" s="6" t="s">
        <v>458</v>
      </c>
      <c r="F14" s="64" t="s">
        <v>458</v>
      </c>
      <c r="G14" s="3" t="s">
        <v>458</v>
      </c>
    </row>
    <row r="15" spans="1:7" ht="285">
      <c r="A15" s="2" t="s">
        <v>20</v>
      </c>
      <c r="B15" s="12" t="s">
        <v>431</v>
      </c>
      <c r="C15" s="10" t="s">
        <v>277</v>
      </c>
      <c r="D15" s="8" t="s">
        <v>17</v>
      </c>
      <c r="E15" s="6" t="s">
        <v>394</v>
      </c>
      <c r="F15" s="64" t="s">
        <v>374</v>
      </c>
      <c r="G15" s="3" t="s">
        <v>374</v>
      </c>
    </row>
    <row r="16" spans="1:7">
      <c r="A16" s="2" t="s">
        <v>21</v>
      </c>
      <c r="B16" s="12" t="s">
        <v>7</v>
      </c>
      <c r="C16" s="10" t="s">
        <v>22</v>
      </c>
      <c r="D16" s="8" t="s">
        <v>22</v>
      </c>
      <c r="E16" s="6" t="s">
        <v>23</v>
      </c>
      <c r="F16" s="64" t="s">
        <v>22</v>
      </c>
      <c r="G16" s="3" t="s">
        <v>22</v>
      </c>
    </row>
    <row r="17" spans="1:7" ht="120">
      <c r="A17" s="2" t="s">
        <v>24</v>
      </c>
      <c r="B17" s="12" t="s">
        <v>25</v>
      </c>
      <c r="C17" s="10" t="s">
        <v>278</v>
      </c>
      <c r="D17" s="8" t="s">
        <v>369</v>
      </c>
      <c r="E17" s="6" t="s">
        <v>25</v>
      </c>
      <c r="F17" s="64" t="s">
        <v>369</v>
      </c>
      <c r="G17" s="3" t="s">
        <v>369</v>
      </c>
    </row>
    <row r="18" spans="1:7" ht="270">
      <c r="A18" s="2" t="s">
        <v>26</v>
      </c>
      <c r="B18" s="12" t="s">
        <v>226</v>
      </c>
      <c r="C18" s="10" t="s">
        <v>27</v>
      </c>
      <c r="D18" s="8" t="s">
        <v>4</v>
      </c>
      <c r="E18" s="6" t="s">
        <v>4</v>
      </c>
      <c r="F18" s="64" t="s">
        <v>4</v>
      </c>
      <c r="G18" s="3" t="s">
        <v>395</v>
      </c>
    </row>
    <row r="19" spans="1:7" ht="45">
      <c r="A19" s="2" t="s">
        <v>227</v>
      </c>
      <c r="B19" s="12" t="s">
        <v>368</v>
      </c>
      <c r="C19" s="10" t="s">
        <v>228</v>
      </c>
      <c r="D19" s="8" t="s">
        <v>369</v>
      </c>
      <c r="E19" s="6" t="s">
        <v>369</v>
      </c>
      <c r="F19" s="64" t="s">
        <v>369</v>
      </c>
      <c r="G19" s="3" t="s">
        <v>369</v>
      </c>
    </row>
    <row r="20" spans="1:7" ht="105">
      <c r="A20" s="2" t="s">
        <v>229</v>
      </c>
      <c r="B20" s="12" t="s">
        <v>340</v>
      </c>
      <c r="C20" s="10" t="s">
        <v>28</v>
      </c>
      <c r="D20" s="8" t="s">
        <v>369</v>
      </c>
      <c r="E20" s="6" t="s">
        <v>28</v>
      </c>
      <c r="F20" s="64" t="s">
        <v>28</v>
      </c>
      <c r="G20" s="3" t="s">
        <v>375</v>
      </c>
    </row>
    <row r="21" spans="1:7">
      <c r="A21" s="2" t="s">
        <v>357</v>
      </c>
      <c r="B21" s="12" t="s">
        <v>376</v>
      </c>
      <c r="C21" s="10" t="s">
        <v>376</v>
      </c>
      <c r="D21" s="8" t="s">
        <v>377</v>
      </c>
      <c r="E21" s="6" t="s">
        <v>377</v>
      </c>
      <c r="F21" s="64" t="s">
        <v>377</v>
      </c>
      <c r="G21" s="56">
        <v>5000</v>
      </c>
    </row>
    <row r="22" spans="1:7" ht="30">
      <c r="A22" s="2" t="s">
        <v>29</v>
      </c>
      <c r="B22" s="12" t="s">
        <v>396</v>
      </c>
      <c r="C22" s="10" t="s">
        <v>432</v>
      </c>
      <c r="D22" s="57">
        <v>500000</v>
      </c>
      <c r="E22" s="6" t="s">
        <v>4</v>
      </c>
      <c r="F22" s="64" t="s">
        <v>4</v>
      </c>
      <c r="G22" s="56">
        <v>500000</v>
      </c>
    </row>
    <row r="23" spans="1:7" ht="105">
      <c r="A23" s="2" t="s">
        <v>230</v>
      </c>
      <c r="B23" s="12" t="s">
        <v>30</v>
      </c>
      <c r="C23" s="10" t="s">
        <v>378</v>
      </c>
      <c r="D23" s="8" t="s">
        <v>379</v>
      </c>
      <c r="E23" s="6" t="s">
        <v>369</v>
      </c>
      <c r="F23" s="64" t="s">
        <v>369</v>
      </c>
      <c r="G23" s="3" t="s">
        <v>369</v>
      </c>
    </row>
    <row r="24" spans="1:7" ht="60">
      <c r="A24" s="2" t="s">
        <v>231</v>
      </c>
      <c r="B24" s="12" t="s">
        <v>341</v>
      </c>
      <c r="C24" s="10" t="s">
        <v>342</v>
      </c>
      <c r="D24" s="8" t="s">
        <v>31</v>
      </c>
      <c r="E24" s="6" t="s">
        <v>380</v>
      </c>
      <c r="F24" s="64" t="s">
        <v>380</v>
      </c>
      <c r="G24" s="3" t="s">
        <v>31</v>
      </c>
    </row>
    <row r="25" spans="1:7" ht="75" customHeight="1">
      <c r="A25" s="2" t="s">
        <v>317</v>
      </c>
      <c r="B25" s="12" t="s">
        <v>32</v>
      </c>
      <c r="C25" s="10" t="s">
        <v>443</v>
      </c>
      <c r="D25" s="8" t="s">
        <v>369</v>
      </c>
      <c r="E25" s="6" t="s">
        <v>369</v>
      </c>
      <c r="F25" s="64" t="s">
        <v>369</v>
      </c>
      <c r="G25" s="3" t="s">
        <v>369</v>
      </c>
    </row>
    <row r="26" spans="1:7" ht="75">
      <c r="A26" s="2" t="s">
        <v>358</v>
      </c>
      <c r="B26" s="12" t="s">
        <v>33</v>
      </c>
      <c r="C26" s="10" t="s">
        <v>232</v>
      </c>
      <c r="D26" s="8" t="s">
        <v>369</v>
      </c>
      <c r="E26" s="6" t="s">
        <v>369</v>
      </c>
      <c r="F26" s="64" t="s">
        <v>369</v>
      </c>
      <c r="G26" s="56" t="s">
        <v>369</v>
      </c>
    </row>
    <row r="27" spans="1:7" ht="105">
      <c r="A27" s="2" t="s">
        <v>34</v>
      </c>
      <c r="B27" s="12" t="s">
        <v>233</v>
      </c>
      <c r="C27" s="10" t="s">
        <v>233</v>
      </c>
      <c r="D27" s="57" t="s">
        <v>369</v>
      </c>
      <c r="E27" s="6" t="s">
        <v>369</v>
      </c>
      <c r="F27" s="64" t="s">
        <v>369</v>
      </c>
      <c r="G27" s="56" t="s">
        <v>369</v>
      </c>
    </row>
    <row r="28" spans="1:7" ht="285">
      <c r="A28" s="2" t="s">
        <v>359</v>
      </c>
      <c r="B28" s="12" t="s">
        <v>318</v>
      </c>
      <c r="C28" s="10" t="s">
        <v>318</v>
      </c>
      <c r="D28" s="57" t="s">
        <v>369</v>
      </c>
      <c r="E28" s="6" t="s">
        <v>369</v>
      </c>
      <c r="F28" s="64" t="s">
        <v>369</v>
      </c>
      <c r="G28" s="56" t="s">
        <v>369</v>
      </c>
    </row>
    <row r="29" spans="1:7" ht="60">
      <c r="A29" s="2" t="s">
        <v>35</v>
      </c>
      <c r="B29" s="12" t="s">
        <v>234</v>
      </c>
      <c r="C29" s="10" t="s">
        <v>234</v>
      </c>
      <c r="D29" s="8" t="s">
        <v>369</v>
      </c>
      <c r="E29" s="6" t="s">
        <v>369</v>
      </c>
      <c r="F29" s="64" t="s">
        <v>369</v>
      </c>
      <c r="G29" s="3" t="s">
        <v>369</v>
      </c>
    </row>
    <row r="30" spans="1:7" ht="255">
      <c r="A30" s="2" t="s">
        <v>360</v>
      </c>
      <c r="B30" s="12" t="s">
        <v>279</v>
      </c>
      <c r="C30" s="10" t="s">
        <v>280</v>
      </c>
      <c r="D30" s="8" t="s">
        <v>369</v>
      </c>
      <c r="E30" s="6" t="s">
        <v>369</v>
      </c>
      <c r="F30" s="64" t="s">
        <v>369</v>
      </c>
      <c r="G30" s="3" t="s">
        <v>369</v>
      </c>
    </row>
    <row r="31" spans="1:7" ht="45">
      <c r="A31" s="2" t="s">
        <v>36</v>
      </c>
      <c r="B31" s="12" t="s">
        <v>37</v>
      </c>
      <c r="C31" s="10" t="s">
        <v>368</v>
      </c>
      <c r="D31" s="8" t="s">
        <v>369</v>
      </c>
      <c r="E31" s="6" t="s">
        <v>369</v>
      </c>
      <c r="F31" s="64" t="s">
        <v>369</v>
      </c>
      <c r="G31" s="3" t="s">
        <v>369</v>
      </c>
    </row>
    <row r="32" spans="1:7" ht="30">
      <c r="A32" s="2" t="s">
        <v>38</v>
      </c>
      <c r="B32" s="12" t="s">
        <v>235</v>
      </c>
      <c r="C32" s="10" t="s">
        <v>235</v>
      </c>
      <c r="D32" s="8" t="s">
        <v>235</v>
      </c>
      <c r="E32" s="6" t="s">
        <v>235</v>
      </c>
      <c r="F32" s="64" t="s">
        <v>235</v>
      </c>
      <c r="G32" s="3" t="s">
        <v>235</v>
      </c>
    </row>
    <row r="33" spans="1:7" ht="165">
      <c r="A33" s="2" t="s">
        <v>39</v>
      </c>
      <c r="B33" s="12" t="s">
        <v>397</v>
      </c>
      <c r="C33" s="10" t="s">
        <v>368</v>
      </c>
      <c r="D33" s="8" t="s">
        <v>369</v>
      </c>
      <c r="E33" s="6" t="s">
        <v>381</v>
      </c>
      <c r="F33" s="64" t="s">
        <v>369</v>
      </c>
      <c r="G33" s="3" t="s">
        <v>369</v>
      </c>
    </row>
    <row r="34" spans="1:7" ht="60">
      <c r="A34" s="2" t="s">
        <v>40</v>
      </c>
      <c r="B34" s="12" t="s">
        <v>433</v>
      </c>
      <c r="C34" s="10" t="s">
        <v>368</v>
      </c>
      <c r="D34" s="8" t="s">
        <v>369</v>
      </c>
      <c r="E34" s="6" t="s">
        <v>369</v>
      </c>
      <c r="F34" s="64" t="s">
        <v>369</v>
      </c>
      <c r="G34" s="3" t="s">
        <v>369</v>
      </c>
    </row>
    <row r="35" spans="1:7" ht="225">
      <c r="A35" s="2" t="s">
        <v>41</v>
      </c>
      <c r="B35" s="12" t="s">
        <v>398</v>
      </c>
      <c r="C35" s="10" t="s">
        <v>236</v>
      </c>
      <c r="D35" s="8" t="s">
        <v>42</v>
      </c>
      <c r="E35" s="6" t="s">
        <v>42</v>
      </c>
      <c r="F35" s="64" t="s">
        <v>42</v>
      </c>
      <c r="G35" s="3" t="s">
        <v>42</v>
      </c>
    </row>
    <row r="36" spans="1:7" ht="105">
      <c r="A36" s="2" t="s">
        <v>43</v>
      </c>
      <c r="B36" s="12" t="s">
        <v>368</v>
      </c>
      <c r="C36" s="10" t="s">
        <v>281</v>
      </c>
      <c r="D36" s="8" t="s">
        <v>369</v>
      </c>
      <c r="E36" s="6" t="s">
        <v>369</v>
      </c>
      <c r="F36" s="64" t="s">
        <v>369</v>
      </c>
      <c r="G36" s="3" t="s">
        <v>369</v>
      </c>
    </row>
    <row r="37" spans="1:7" ht="45">
      <c r="A37" s="2" t="s">
        <v>237</v>
      </c>
      <c r="B37" s="12" t="s">
        <v>145</v>
      </c>
      <c r="C37" s="10" t="s">
        <v>368</v>
      </c>
      <c r="D37" s="8" t="s">
        <v>369</v>
      </c>
      <c r="E37" s="6" t="s">
        <v>369</v>
      </c>
      <c r="F37" s="64" t="s">
        <v>369</v>
      </c>
      <c r="G37" s="3" t="s">
        <v>369</v>
      </c>
    </row>
    <row r="38" spans="1:7" ht="75">
      <c r="A38" s="2" t="s">
        <v>415</v>
      </c>
      <c r="B38" s="12" t="s">
        <v>319</v>
      </c>
      <c r="C38" s="10" t="s">
        <v>368</v>
      </c>
      <c r="D38" s="8" t="s">
        <v>369</v>
      </c>
      <c r="E38" s="6" t="s">
        <v>369</v>
      </c>
      <c r="F38" s="64" t="s">
        <v>369</v>
      </c>
      <c r="G38" s="3" t="s">
        <v>369</v>
      </c>
    </row>
    <row r="39" spans="1:7" ht="105">
      <c r="A39" s="2" t="s">
        <v>44</v>
      </c>
      <c r="B39" s="12" t="s">
        <v>369</v>
      </c>
      <c r="C39" s="10" t="s">
        <v>282</v>
      </c>
      <c r="D39" s="8" t="s">
        <v>369</v>
      </c>
      <c r="E39" s="6" t="s">
        <v>369</v>
      </c>
      <c r="F39" s="64" t="s">
        <v>369</v>
      </c>
      <c r="G39" s="3" t="s">
        <v>369</v>
      </c>
    </row>
    <row r="40" spans="1:7" ht="135">
      <c r="A40" s="2" t="s">
        <v>354</v>
      </c>
      <c r="B40" s="12" t="s">
        <v>283</v>
      </c>
      <c r="C40" s="10" t="s">
        <v>284</v>
      </c>
      <c r="D40" s="8" t="s">
        <v>369</v>
      </c>
      <c r="E40" s="6" t="s">
        <v>369</v>
      </c>
      <c r="F40" s="64" t="s">
        <v>369</v>
      </c>
      <c r="G40" s="3" t="s">
        <v>369</v>
      </c>
    </row>
    <row r="41" spans="1:7" ht="345">
      <c r="A41" s="2" t="s">
        <v>416</v>
      </c>
      <c r="B41" s="12" t="s">
        <v>368</v>
      </c>
      <c r="C41" s="10" t="s">
        <v>285</v>
      </c>
      <c r="D41" s="8" t="s">
        <v>369</v>
      </c>
      <c r="E41" s="6" t="s">
        <v>369</v>
      </c>
      <c r="F41" s="64" t="s">
        <v>369</v>
      </c>
      <c r="G41" s="3" t="s">
        <v>369</v>
      </c>
    </row>
    <row r="42" spans="1:7" ht="45">
      <c r="A42" s="2" t="s">
        <v>417</v>
      </c>
      <c r="B42" s="12">
        <v>10</v>
      </c>
      <c r="C42" s="10" t="s">
        <v>368</v>
      </c>
      <c r="D42" s="8" t="s">
        <v>369</v>
      </c>
      <c r="E42" s="6" t="s">
        <v>369</v>
      </c>
      <c r="F42" s="64" t="s">
        <v>369</v>
      </c>
      <c r="G42" s="3" t="s">
        <v>369</v>
      </c>
    </row>
    <row r="43" spans="1:7" ht="255">
      <c r="A43" s="2" t="s">
        <v>320</v>
      </c>
      <c r="B43" s="12" t="s">
        <v>382</v>
      </c>
      <c r="C43" s="10" t="s">
        <v>321</v>
      </c>
      <c r="D43" s="8" t="s">
        <v>286</v>
      </c>
      <c r="E43" s="6" t="s">
        <v>286</v>
      </c>
      <c r="F43" s="64" t="s">
        <v>286</v>
      </c>
      <c r="G43" s="3" t="s">
        <v>286</v>
      </c>
    </row>
    <row r="44" spans="1:7" ht="255">
      <c r="A44" s="2" t="s">
        <v>322</v>
      </c>
      <c r="B44" s="12" t="s">
        <v>287</v>
      </c>
      <c r="C44" s="10" t="s">
        <v>399</v>
      </c>
      <c r="D44" s="8" t="s">
        <v>369</v>
      </c>
      <c r="E44" s="6" t="s">
        <v>369</v>
      </c>
      <c r="F44" s="64" t="s">
        <v>369</v>
      </c>
      <c r="G44" s="3" t="s">
        <v>369</v>
      </c>
    </row>
    <row r="45" spans="1:7">
      <c r="A45" s="2" t="s">
        <v>45</v>
      </c>
      <c r="B45" s="12" t="s">
        <v>383</v>
      </c>
      <c r="C45" s="10" t="s">
        <v>2</v>
      </c>
      <c r="D45" s="8" t="s">
        <v>383</v>
      </c>
      <c r="E45" s="6" t="s">
        <v>383</v>
      </c>
      <c r="F45" s="64" t="s">
        <v>383</v>
      </c>
      <c r="G45" s="3" t="s">
        <v>383</v>
      </c>
    </row>
    <row r="46" spans="1:7" ht="180">
      <c r="A46" s="2" t="s">
        <v>361</v>
      </c>
      <c r="B46" s="12" t="s">
        <v>156</v>
      </c>
      <c r="C46" s="10" t="s">
        <v>368</v>
      </c>
      <c r="D46" s="8" t="s">
        <v>369</v>
      </c>
      <c r="E46" s="6" t="s">
        <v>369</v>
      </c>
      <c r="F46" s="64" t="s">
        <v>369</v>
      </c>
      <c r="G46" s="3" t="s">
        <v>369</v>
      </c>
    </row>
    <row r="47" spans="1:7" ht="60">
      <c r="A47" s="2" t="s">
        <v>46</v>
      </c>
      <c r="B47" s="12" t="s">
        <v>238</v>
      </c>
      <c r="C47" s="10" t="s">
        <v>368</v>
      </c>
      <c r="D47" s="8" t="s">
        <v>369</v>
      </c>
      <c r="E47" s="6" t="s">
        <v>369</v>
      </c>
      <c r="F47" s="64" t="s">
        <v>369</v>
      </c>
      <c r="G47" s="3" t="s">
        <v>369</v>
      </c>
    </row>
    <row r="48" spans="1:7" ht="45">
      <c r="A48" s="2" t="s">
        <v>47</v>
      </c>
      <c r="B48" s="12" t="s">
        <v>239</v>
      </c>
      <c r="C48" s="10" t="s">
        <v>368</v>
      </c>
      <c r="D48" s="8" t="s">
        <v>369</v>
      </c>
      <c r="E48" s="6" t="s">
        <v>369</v>
      </c>
      <c r="F48" s="64" t="s">
        <v>369</v>
      </c>
      <c r="G48" s="3" t="s">
        <v>369</v>
      </c>
    </row>
    <row r="49" spans="1:7" ht="75">
      <c r="A49" s="2" t="s">
        <v>344</v>
      </c>
      <c r="B49" s="12" t="s">
        <v>48</v>
      </c>
      <c r="C49" s="10" t="s">
        <v>368</v>
      </c>
      <c r="D49" s="8" t="s">
        <v>369</v>
      </c>
      <c r="E49" s="6" t="s">
        <v>369</v>
      </c>
      <c r="F49" s="64" t="s">
        <v>369</v>
      </c>
      <c r="G49" s="3" t="s">
        <v>369</v>
      </c>
    </row>
    <row r="50" spans="1:7" ht="165">
      <c r="A50" s="2" t="s">
        <v>345</v>
      </c>
      <c r="B50" s="12" t="s">
        <v>157</v>
      </c>
      <c r="C50" s="10" t="s">
        <v>368</v>
      </c>
      <c r="D50" s="8" t="s">
        <v>369</v>
      </c>
      <c r="E50" s="6" t="s">
        <v>369</v>
      </c>
      <c r="F50" s="64" t="s">
        <v>369</v>
      </c>
      <c r="G50" s="3" t="s">
        <v>369</v>
      </c>
    </row>
    <row r="51" spans="1:7" ht="45">
      <c r="A51" s="2" t="s">
        <v>346</v>
      </c>
      <c r="B51" s="12" t="s">
        <v>368</v>
      </c>
      <c r="C51" s="10" t="s">
        <v>368</v>
      </c>
      <c r="D51" s="8" t="s">
        <v>369</v>
      </c>
      <c r="E51" s="6" t="s">
        <v>369</v>
      </c>
      <c r="F51" s="64" t="s">
        <v>369</v>
      </c>
      <c r="G51" s="3" t="s">
        <v>369</v>
      </c>
    </row>
    <row r="52" spans="1:7" ht="135">
      <c r="A52" s="2" t="s">
        <v>362</v>
      </c>
      <c r="B52" s="12" t="s">
        <v>49</v>
      </c>
      <c r="C52" s="10" t="s">
        <v>368</v>
      </c>
      <c r="D52" s="8" t="s">
        <v>369</v>
      </c>
      <c r="E52" s="6" t="s">
        <v>369</v>
      </c>
      <c r="F52" s="64" t="s">
        <v>369</v>
      </c>
      <c r="G52" s="3" t="s">
        <v>369</v>
      </c>
    </row>
    <row r="53" spans="1:7" ht="45">
      <c r="A53" s="2" t="s">
        <v>347</v>
      </c>
      <c r="B53" s="12" t="s">
        <v>50</v>
      </c>
      <c r="C53" s="10" t="s">
        <v>368</v>
      </c>
      <c r="D53" s="8" t="s">
        <v>369</v>
      </c>
      <c r="E53" s="6" t="s">
        <v>369</v>
      </c>
      <c r="F53" s="64" t="s">
        <v>369</v>
      </c>
      <c r="G53" s="3" t="s">
        <v>369</v>
      </c>
    </row>
    <row r="54" spans="1:7" ht="45">
      <c r="A54" s="2" t="s">
        <v>348</v>
      </c>
      <c r="B54" s="12" t="s">
        <v>368</v>
      </c>
      <c r="C54" s="10" t="s">
        <v>368</v>
      </c>
      <c r="D54" s="8" t="s">
        <v>369</v>
      </c>
      <c r="E54" s="6" t="s">
        <v>369</v>
      </c>
      <c r="F54" s="64" t="s">
        <v>369</v>
      </c>
      <c r="G54" s="3" t="s">
        <v>369</v>
      </c>
    </row>
    <row r="55" spans="1:7" ht="90">
      <c r="A55" s="2" t="s">
        <v>349</v>
      </c>
      <c r="B55" s="12" t="s">
        <v>240</v>
      </c>
      <c r="C55" s="10" t="s">
        <v>444</v>
      </c>
      <c r="D55" s="8" t="s">
        <v>369</v>
      </c>
      <c r="E55" s="6" t="s">
        <v>369</v>
      </c>
      <c r="F55" s="64" t="s">
        <v>369</v>
      </c>
      <c r="G55" s="3" t="s">
        <v>369</v>
      </c>
    </row>
    <row r="56" spans="1:7" ht="75">
      <c r="A56" s="2" t="s">
        <v>51</v>
      </c>
      <c r="B56" s="12" t="s">
        <v>241</v>
      </c>
      <c r="C56" s="10" t="s">
        <v>52</v>
      </c>
      <c r="D56" s="8" t="s">
        <v>369</v>
      </c>
      <c r="E56" s="6" t="s">
        <v>288</v>
      </c>
      <c r="F56" s="64" t="s">
        <v>54</v>
      </c>
      <c r="G56" s="3" t="s">
        <v>369</v>
      </c>
    </row>
    <row r="57" spans="1:7" ht="225">
      <c r="A57" s="2" t="s">
        <v>363</v>
      </c>
      <c r="B57" s="12" t="s">
        <v>53</v>
      </c>
      <c r="C57" s="10" t="s">
        <v>289</v>
      </c>
      <c r="D57" s="8" t="s">
        <v>369</v>
      </c>
      <c r="E57" s="6" t="s">
        <v>369</v>
      </c>
      <c r="F57" s="64" t="s">
        <v>369</v>
      </c>
      <c r="G57" s="3" t="s">
        <v>369</v>
      </c>
    </row>
    <row r="58" spans="1:7" ht="45">
      <c r="A58" s="2" t="s">
        <v>445</v>
      </c>
      <c r="B58" s="12" t="s">
        <v>400</v>
      </c>
      <c r="C58" s="10" t="s">
        <v>400</v>
      </c>
      <c r="D58" s="8" t="s">
        <v>369</v>
      </c>
      <c r="E58" s="6" t="s">
        <v>369</v>
      </c>
      <c r="F58" s="64" t="s">
        <v>369</v>
      </c>
      <c r="G58" s="3" t="s">
        <v>369</v>
      </c>
    </row>
    <row r="59" spans="1:7" ht="330">
      <c r="A59" s="2" t="s">
        <v>55</v>
      </c>
      <c r="B59" s="12" t="s">
        <v>290</v>
      </c>
      <c r="C59" s="10" t="s">
        <v>291</v>
      </c>
      <c r="D59" s="8" t="s">
        <v>369</v>
      </c>
      <c r="E59" s="6" t="s">
        <v>369</v>
      </c>
      <c r="F59" s="64" t="s">
        <v>369</v>
      </c>
      <c r="G59" s="3" t="s">
        <v>369</v>
      </c>
    </row>
    <row r="60" spans="1:7" ht="90">
      <c r="A60" s="2" t="s">
        <v>446</v>
      </c>
      <c r="B60" s="12" t="s">
        <v>56</v>
      </c>
      <c r="C60" s="10" t="s">
        <v>57</v>
      </c>
      <c r="D60" s="8" t="s">
        <v>369</v>
      </c>
      <c r="E60" s="6" t="s">
        <v>369</v>
      </c>
      <c r="F60" s="64" t="s">
        <v>369</v>
      </c>
      <c r="G60" s="3" t="s">
        <v>369</v>
      </c>
    </row>
    <row r="61" spans="1:7" ht="195">
      <c r="A61" s="2" t="s">
        <v>58</v>
      </c>
      <c r="B61" s="12" t="s">
        <v>292</v>
      </c>
      <c r="C61" s="10" t="s">
        <v>242</v>
      </c>
      <c r="D61" s="8" t="s">
        <v>369</v>
      </c>
      <c r="E61" s="6" t="s">
        <v>243</v>
      </c>
      <c r="F61" s="64" t="s">
        <v>59</v>
      </c>
      <c r="G61" s="3" t="s">
        <v>369</v>
      </c>
    </row>
    <row r="62" spans="1:7" ht="45">
      <c r="A62" s="2" t="s">
        <v>60</v>
      </c>
      <c r="B62" s="12" t="s">
        <v>401</v>
      </c>
      <c r="C62" s="10" t="s">
        <v>402</v>
      </c>
      <c r="D62" s="8" t="s">
        <v>369</v>
      </c>
      <c r="E62" s="6" t="s">
        <v>369</v>
      </c>
      <c r="F62" s="64" t="s">
        <v>369</v>
      </c>
      <c r="G62" s="3" t="s">
        <v>369</v>
      </c>
    </row>
    <row r="63" spans="1:7" ht="75">
      <c r="A63" s="2" t="s">
        <v>364</v>
      </c>
      <c r="B63" s="12" t="s">
        <v>61</v>
      </c>
      <c r="C63" s="10" t="s">
        <v>61</v>
      </c>
      <c r="D63" s="8" t="s">
        <v>77</v>
      </c>
      <c r="E63" s="6" t="s">
        <v>77</v>
      </c>
      <c r="F63" s="64" t="s">
        <v>77</v>
      </c>
      <c r="G63" s="3" t="s">
        <v>77</v>
      </c>
    </row>
    <row r="64" spans="1:7" ht="90">
      <c r="A64" s="2" t="s">
        <v>62</v>
      </c>
      <c r="B64" s="12" t="s">
        <v>63</v>
      </c>
      <c r="C64" s="10" t="s">
        <v>376</v>
      </c>
      <c r="D64" s="8" t="s">
        <v>377</v>
      </c>
      <c r="E64" s="6" t="s">
        <v>377</v>
      </c>
      <c r="F64" s="64" t="s">
        <v>377</v>
      </c>
      <c r="G64" s="3" t="s">
        <v>377</v>
      </c>
    </row>
    <row r="65" spans="1:7" ht="105">
      <c r="A65" s="2" t="s">
        <v>64</v>
      </c>
      <c r="B65" s="12" t="s">
        <v>65</v>
      </c>
      <c r="C65" s="10" t="s">
        <v>368</v>
      </c>
      <c r="D65" s="8" t="s">
        <v>369</v>
      </c>
      <c r="E65" s="6" t="s">
        <v>369</v>
      </c>
      <c r="F65" s="64" t="s">
        <v>369</v>
      </c>
      <c r="G65" s="3" t="s">
        <v>369</v>
      </c>
    </row>
    <row r="66" spans="1:7" ht="120">
      <c r="A66" s="2" t="s">
        <v>66</v>
      </c>
      <c r="B66" s="12" t="s">
        <v>158</v>
      </c>
      <c r="C66" s="10" t="s">
        <v>376</v>
      </c>
      <c r="D66" s="8" t="s">
        <v>377</v>
      </c>
      <c r="E66" s="6" t="s">
        <v>377</v>
      </c>
      <c r="F66" s="64" t="s">
        <v>377</v>
      </c>
      <c r="G66" s="3" t="s">
        <v>71</v>
      </c>
    </row>
    <row r="67" spans="1:7" ht="60">
      <c r="A67" s="2" t="s">
        <v>67</v>
      </c>
      <c r="B67" s="12" t="s">
        <v>68</v>
      </c>
      <c r="C67" s="10" t="s">
        <v>368</v>
      </c>
      <c r="D67" s="8" t="s">
        <v>369</v>
      </c>
      <c r="E67" s="6" t="s">
        <v>369</v>
      </c>
      <c r="F67" s="64" t="s">
        <v>369</v>
      </c>
      <c r="G67" s="3" t="s">
        <v>71</v>
      </c>
    </row>
    <row r="68" spans="1:7" ht="180">
      <c r="A68" s="2" t="s">
        <v>69</v>
      </c>
      <c r="B68" s="12" t="s">
        <v>70</v>
      </c>
      <c r="C68" s="10" t="s">
        <v>403</v>
      </c>
      <c r="D68" s="8" t="s">
        <v>244</v>
      </c>
      <c r="E68" s="6" t="s">
        <v>384</v>
      </c>
      <c r="F68" s="64" t="s">
        <v>384</v>
      </c>
      <c r="G68" s="3" t="s">
        <v>71</v>
      </c>
    </row>
    <row r="69" spans="1:7" ht="60">
      <c r="A69" s="2" t="s">
        <v>72</v>
      </c>
      <c r="B69" s="12" t="s">
        <v>73</v>
      </c>
      <c r="C69" s="10" t="s">
        <v>74</v>
      </c>
      <c r="D69" s="8" t="s">
        <v>75</v>
      </c>
      <c r="E69" s="6" t="s">
        <v>384</v>
      </c>
      <c r="F69" s="64" t="s">
        <v>384</v>
      </c>
      <c r="G69" s="3" t="s">
        <v>71</v>
      </c>
    </row>
    <row r="70" spans="1:7" ht="60">
      <c r="A70" s="2" t="s">
        <v>76</v>
      </c>
      <c r="B70" s="12" t="s">
        <v>404</v>
      </c>
      <c r="C70" s="10" t="s">
        <v>405</v>
      </c>
      <c r="D70" s="8" t="s">
        <v>77</v>
      </c>
      <c r="E70" s="6" t="s">
        <v>77</v>
      </c>
      <c r="F70" s="64" t="s">
        <v>77</v>
      </c>
      <c r="G70" s="3" t="s">
        <v>77</v>
      </c>
    </row>
    <row r="71" spans="1:7" ht="60">
      <c r="A71" s="2" t="s">
        <v>78</v>
      </c>
      <c r="B71" s="12" t="s">
        <v>79</v>
      </c>
      <c r="C71" s="10" t="s">
        <v>368</v>
      </c>
      <c r="D71" s="8" t="s">
        <v>384</v>
      </c>
      <c r="E71" s="6" t="s">
        <v>384</v>
      </c>
      <c r="F71" s="64" t="s">
        <v>384</v>
      </c>
      <c r="G71" s="3" t="s">
        <v>71</v>
      </c>
    </row>
    <row r="72" spans="1:7" ht="180">
      <c r="A72" s="2" t="s">
        <v>80</v>
      </c>
      <c r="B72" s="12" t="s">
        <v>81</v>
      </c>
      <c r="C72" s="10" t="s">
        <v>403</v>
      </c>
      <c r="D72" s="8" t="s">
        <v>245</v>
      </c>
      <c r="E72" s="6" t="s">
        <v>384</v>
      </c>
      <c r="F72" s="64" t="s">
        <v>384</v>
      </c>
      <c r="G72" s="3" t="s">
        <v>71</v>
      </c>
    </row>
    <row r="73" spans="1:7" ht="120" customHeight="1">
      <c r="A73" s="2" t="s">
        <v>82</v>
      </c>
      <c r="B73" s="12" t="s">
        <v>83</v>
      </c>
      <c r="C73" s="10" t="s">
        <v>403</v>
      </c>
      <c r="D73" s="8" t="s">
        <v>246</v>
      </c>
      <c r="E73" s="6" t="s">
        <v>384</v>
      </c>
      <c r="F73" s="64" t="s">
        <v>384</v>
      </c>
      <c r="G73" s="3" t="s">
        <v>71</v>
      </c>
    </row>
    <row r="74" spans="1:7" ht="180">
      <c r="A74" s="2" t="s">
        <v>84</v>
      </c>
      <c r="B74" s="12" t="s">
        <v>85</v>
      </c>
      <c r="C74" s="10" t="s">
        <v>403</v>
      </c>
      <c r="D74" s="8" t="s">
        <v>86</v>
      </c>
      <c r="E74" s="6" t="s">
        <v>384</v>
      </c>
      <c r="F74" s="64" t="s">
        <v>384</v>
      </c>
      <c r="G74" s="3" t="s">
        <v>71</v>
      </c>
    </row>
    <row r="75" spans="1:7" ht="210">
      <c r="A75" s="2" t="s">
        <v>87</v>
      </c>
      <c r="B75" s="12" t="s">
        <v>293</v>
      </c>
      <c r="C75" s="10" t="s">
        <v>323</v>
      </c>
      <c r="D75" s="8" t="s">
        <v>385</v>
      </c>
      <c r="E75" s="6" t="s">
        <v>385</v>
      </c>
      <c r="F75" s="64" t="s">
        <v>385</v>
      </c>
      <c r="G75" s="3" t="s">
        <v>385</v>
      </c>
    </row>
    <row r="76" spans="1:7" ht="45">
      <c r="A76" s="2" t="s">
        <v>350</v>
      </c>
      <c r="B76" s="12" t="s">
        <v>88</v>
      </c>
      <c r="C76" s="10" t="s">
        <v>368</v>
      </c>
      <c r="D76" s="8" t="s">
        <v>369</v>
      </c>
      <c r="E76" s="6" t="s">
        <v>369</v>
      </c>
      <c r="F76" s="64" t="s">
        <v>369</v>
      </c>
      <c r="G76" s="3" t="s">
        <v>369</v>
      </c>
    </row>
    <row r="77" spans="1:7" ht="60">
      <c r="A77" s="2" t="s">
        <v>89</v>
      </c>
      <c r="B77" s="12" t="s">
        <v>247</v>
      </c>
      <c r="C77" s="10" t="s">
        <v>368</v>
      </c>
      <c r="D77" s="8" t="s">
        <v>369</v>
      </c>
      <c r="E77" s="6" t="s">
        <v>369</v>
      </c>
      <c r="F77" s="64" t="s">
        <v>369</v>
      </c>
      <c r="G77" s="3" t="s">
        <v>369</v>
      </c>
    </row>
    <row r="78" spans="1:7" ht="45">
      <c r="A78" s="2" t="s">
        <v>90</v>
      </c>
      <c r="B78" s="12" t="s">
        <v>368</v>
      </c>
      <c r="C78" s="10" t="s">
        <v>368</v>
      </c>
      <c r="D78" s="8" t="s">
        <v>369</v>
      </c>
      <c r="E78" s="6" t="s">
        <v>369</v>
      </c>
      <c r="F78" s="64" t="s">
        <v>369</v>
      </c>
      <c r="G78" s="3" t="s">
        <v>369</v>
      </c>
    </row>
    <row r="79" spans="1:7" ht="45">
      <c r="A79" s="2" t="s">
        <v>248</v>
      </c>
      <c r="B79" s="12" t="s">
        <v>368</v>
      </c>
      <c r="C79" s="10" t="s">
        <v>368</v>
      </c>
      <c r="D79" s="8" t="s">
        <v>369</v>
      </c>
      <c r="E79" s="6" t="s">
        <v>369</v>
      </c>
      <c r="F79" s="64" t="s">
        <v>369</v>
      </c>
      <c r="G79" s="3" t="s">
        <v>369</v>
      </c>
    </row>
    <row r="80" spans="1:7" ht="105">
      <c r="A80" s="2" t="s">
        <v>249</v>
      </c>
      <c r="B80" s="12" t="s">
        <v>91</v>
      </c>
      <c r="C80" s="10" t="s">
        <v>368</v>
      </c>
      <c r="D80" s="8" t="s">
        <v>369</v>
      </c>
      <c r="E80" s="6" t="s">
        <v>369</v>
      </c>
      <c r="F80" s="64" t="s">
        <v>369</v>
      </c>
      <c r="G80" s="3" t="s">
        <v>369</v>
      </c>
    </row>
    <row r="81" spans="1:7">
      <c r="A81" s="2" t="s">
        <v>324</v>
      </c>
      <c r="B81" s="12" t="s">
        <v>376</v>
      </c>
      <c r="C81" s="10" t="s">
        <v>376</v>
      </c>
      <c r="D81" s="8" t="s">
        <v>377</v>
      </c>
      <c r="E81" s="6" t="s">
        <v>377</v>
      </c>
      <c r="F81" s="64" t="s">
        <v>377</v>
      </c>
      <c r="G81" s="3" t="s">
        <v>377</v>
      </c>
    </row>
    <row r="82" spans="1:7" ht="75">
      <c r="A82" s="2" t="s">
        <v>92</v>
      </c>
      <c r="B82" s="12" t="s">
        <v>386</v>
      </c>
      <c r="C82" s="10" t="s">
        <v>387</v>
      </c>
      <c r="D82" s="8" t="s">
        <v>387</v>
      </c>
      <c r="E82" s="6" t="s">
        <v>387</v>
      </c>
      <c r="F82" s="64" t="s">
        <v>387</v>
      </c>
      <c r="G82" s="3" t="s">
        <v>387</v>
      </c>
    </row>
    <row r="83" spans="1:7" ht="180">
      <c r="A83" s="2" t="s">
        <v>93</v>
      </c>
      <c r="B83" s="12" t="s">
        <v>406</v>
      </c>
      <c r="C83" s="10" t="s">
        <v>406</v>
      </c>
      <c r="D83" s="8" t="s">
        <v>377</v>
      </c>
      <c r="E83" s="6" t="s">
        <v>377</v>
      </c>
      <c r="F83" s="64" t="s">
        <v>377</v>
      </c>
      <c r="G83" s="3" t="s">
        <v>377</v>
      </c>
    </row>
    <row r="84" spans="1:7" ht="150">
      <c r="A84" s="2" t="s">
        <v>94</v>
      </c>
      <c r="B84" s="12" t="s">
        <v>368</v>
      </c>
      <c r="C84" s="10" t="s">
        <v>294</v>
      </c>
      <c r="D84" s="8" t="s">
        <v>369</v>
      </c>
      <c r="E84" s="6" t="s">
        <v>369</v>
      </c>
      <c r="F84" s="64" t="s">
        <v>369</v>
      </c>
      <c r="G84" s="3" t="s">
        <v>369</v>
      </c>
    </row>
    <row r="85" spans="1:7" ht="255">
      <c r="A85" s="2" t="s">
        <v>95</v>
      </c>
      <c r="B85" s="12" t="s">
        <v>368</v>
      </c>
      <c r="C85" s="10" t="s">
        <v>325</v>
      </c>
      <c r="D85" s="8" t="s">
        <v>369</v>
      </c>
      <c r="E85" s="6" t="s">
        <v>388</v>
      </c>
      <c r="F85" s="66" t="s">
        <v>388</v>
      </c>
      <c r="G85" s="3" t="s">
        <v>388</v>
      </c>
    </row>
    <row r="86" spans="1:7" ht="240">
      <c r="A86" s="2" t="s">
        <v>96</v>
      </c>
      <c r="B86" s="12" t="s">
        <v>295</v>
      </c>
      <c r="C86" s="10" t="s">
        <v>368</v>
      </c>
      <c r="D86" s="8" t="s">
        <v>369</v>
      </c>
      <c r="E86" s="6" t="s">
        <v>369</v>
      </c>
      <c r="F86" s="66" t="s">
        <v>369</v>
      </c>
      <c r="G86" s="3" t="s">
        <v>369</v>
      </c>
    </row>
    <row r="87" spans="1:7" ht="150">
      <c r="A87" s="2" t="s">
        <v>97</v>
      </c>
      <c r="B87" s="12" t="s">
        <v>407</v>
      </c>
      <c r="C87" s="10" t="s">
        <v>376</v>
      </c>
      <c r="D87" s="8" t="s">
        <v>377</v>
      </c>
      <c r="E87" s="6" t="s">
        <v>377</v>
      </c>
      <c r="F87" s="66" t="s">
        <v>377</v>
      </c>
      <c r="G87" s="3" t="s">
        <v>377</v>
      </c>
    </row>
    <row r="88" spans="1:7" ht="45">
      <c r="A88" s="2" t="s">
        <v>98</v>
      </c>
      <c r="B88" s="12" t="s">
        <v>368</v>
      </c>
      <c r="C88" s="10" t="s">
        <v>368</v>
      </c>
      <c r="D88" s="8" t="s">
        <v>369</v>
      </c>
      <c r="E88" s="6" t="s">
        <v>369</v>
      </c>
      <c r="F88" s="66" t="s">
        <v>369</v>
      </c>
      <c r="G88" s="3" t="s">
        <v>369</v>
      </c>
    </row>
    <row r="89" spans="1:7" ht="315">
      <c r="A89" s="2" t="s">
        <v>447</v>
      </c>
      <c r="B89" s="12" t="s">
        <v>408</v>
      </c>
      <c r="C89" s="10" t="s">
        <v>448</v>
      </c>
      <c r="D89" s="8" t="s">
        <v>369</v>
      </c>
      <c r="E89" s="6" t="s">
        <v>369</v>
      </c>
      <c r="F89" s="66" t="s">
        <v>369</v>
      </c>
      <c r="G89" s="3" t="s">
        <v>369</v>
      </c>
    </row>
    <row r="90" spans="1:7" ht="150">
      <c r="A90" s="2" t="s">
        <v>351</v>
      </c>
      <c r="B90" s="12" t="s">
        <v>434</v>
      </c>
      <c r="C90" s="10" t="s">
        <v>368</v>
      </c>
      <c r="D90" s="8" t="s">
        <v>369</v>
      </c>
      <c r="E90" s="6" t="s">
        <v>369</v>
      </c>
      <c r="F90" s="66" t="s">
        <v>369</v>
      </c>
      <c r="G90" s="3" t="s">
        <v>369</v>
      </c>
    </row>
    <row r="91" spans="1:7">
      <c r="A91" s="2" t="s">
        <v>326</v>
      </c>
      <c r="B91" s="12" t="s">
        <v>376</v>
      </c>
      <c r="C91" s="10" t="s">
        <v>376</v>
      </c>
      <c r="D91" s="8" t="s">
        <v>377</v>
      </c>
      <c r="E91" s="6" t="s">
        <v>377</v>
      </c>
      <c r="F91" s="66" t="s">
        <v>377</v>
      </c>
      <c r="G91" s="3" t="s">
        <v>377</v>
      </c>
    </row>
    <row r="92" spans="1:7" ht="150">
      <c r="A92" s="2" t="s">
        <v>99</v>
      </c>
      <c r="B92" s="12" t="s">
        <v>17</v>
      </c>
      <c r="C92" s="10" t="s">
        <v>296</v>
      </c>
      <c r="D92" s="8" t="s">
        <v>17</v>
      </c>
      <c r="E92" s="6" t="s">
        <v>17</v>
      </c>
      <c r="F92" s="66" t="s">
        <v>17</v>
      </c>
      <c r="G92" s="3" t="s">
        <v>17</v>
      </c>
    </row>
    <row r="93" spans="1:7" ht="409.5">
      <c r="A93" s="2" t="s">
        <v>327</v>
      </c>
      <c r="B93" s="12" t="s">
        <v>409</v>
      </c>
      <c r="C93" s="10" t="s">
        <v>410</v>
      </c>
      <c r="D93" s="8" t="s">
        <v>369</v>
      </c>
      <c r="E93" s="6" t="s">
        <v>369</v>
      </c>
      <c r="F93" s="66" t="s">
        <v>369</v>
      </c>
      <c r="G93" s="3" t="s">
        <v>369</v>
      </c>
    </row>
    <row r="94" spans="1:7" ht="150">
      <c r="A94" s="2" t="s">
        <v>365</v>
      </c>
      <c r="B94" s="12" t="s">
        <v>388</v>
      </c>
      <c r="C94" s="10" t="s">
        <v>159</v>
      </c>
      <c r="D94" s="8" t="s">
        <v>388</v>
      </c>
      <c r="E94" s="6" t="s">
        <v>388</v>
      </c>
      <c r="F94" s="64" t="s">
        <v>388</v>
      </c>
      <c r="G94" s="3" t="s">
        <v>388</v>
      </c>
    </row>
    <row r="95" spans="1:7">
      <c r="A95" s="2" t="s">
        <v>100</v>
      </c>
      <c r="B95" s="12" t="s">
        <v>17</v>
      </c>
      <c r="C95" s="10" t="s">
        <v>155</v>
      </c>
      <c r="D95" s="8" t="s">
        <v>17</v>
      </c>
      <c r="E95" s="6" t="s">
        <v>17</v>
      </c>
      <c r="F95" s="64" t="s">
        <v>17</v>
      </c>
      <c r="G95" s="3" t="s">
        <v>17</v>
      </c>
    </row>
    <row r="96" spans="1:7">
      <c r="A96" s="2" t="s">
        <v>101</v>
      </c>
      <c r="B96" s="12" t="s">
        <v>17</v>
      </c>
      <c r="C96" s="10" t="s">
        <v>155</v>
      </c>
      <c r="D96" s="8" t="s">
        <v>17</v>
      </c>
      <c r="E96" s="6" t="s">
        <v>17</v>
      </c>
      <c r="F96" s="64" t="s">
        <v>17</v>
      </c>
      <c r="G96" s="3" t="s">
        <v>17</v>
      </c>
    </row>
    <row r="97" spans="1:7" ht="45">
      <c r="A97" s="2" t="s">
        <v>102</v>
      </c>
      <c r="B97" s="12" t="s">
        <v>250</v>
      </c>
      <c r="C97" s="10" t="s">
        <v>368</v>
      </c>
      <c r="D97" s="8" t="s">
        <v>369</v>
      </c>
      <c r="E97" s="6" t="s">
        <v>369</v>
      </c>
      <c r="F97" s="64" t="s">
        <v>369</v>
      </c>
      <c r="G97" s="3" t="s">
        <v>369</v>
      </c>
    </row>
    <row r="98" spans="1:7" ht="409.5">
      <c r="A98" s="2" t="s">
        <v>449</v>
      </c>
      <c r="B98" s="12" t="s">
        <v>368</v>
      </c>
      <c r="C98" s="10" t="s">
        <v>450</v>
      </c>
      <c r="D98" s="8" t="s">
        <v>369</v>
      </c>
      <c r="E98" s="6" t="s">
        <v>369</v>
      </c>
      <c r="F98" s="64" t="s">
        <v>369</v>
      </c>
      <c r="G98" s="3" t="s">
        <v>369</v>
      </c>
    </row>
    <row r="99" spans="1:7" ht="60">
      <c r="A99" s="2" t="s">
        <v>103</v>
      </c>
      <c r="B99" s="12" t="s">
        <v>251</v>
      </c>
      <c r="C99" s="10" t="s">
        <v>368</v>
      </c>
      <c r="D99" s="8" t="s">
        <v>369</v>
      </c>
      <c r="E99" s="6" t="s">
        <v>369</v>
      </c>
      <c r="F99" s="64" t="s">
        <v>369</v>
      </c>
      <c r="G99" s="3" t="s">
        <v>369</v>
      </c>
    </row>
    <row r="100" spans="1:7" ht="165">
      <c r="A100" s="2" t="s">
        <v>352</v>
      </c>
      <c r="B100" s="12" t="s">
        <v>435</v>
      </c>
      <c r="C100" s="10" t="s">
        <v>368</v>
      </c>
      <c r="D100" s="8" t="s">
        <v>369</v>
      </c>
      <c r="E100" s="6" t="s">
        <v>369</v>
      </c>
      <c r="F100" s="64" t="s">
        <v>369</v>
      </c>
      <c r="G100" s="3" t="s">
        <v>369</v>
      </c>
    </row>
    <row r="101" spans="1:7" ht="150">
      <c r="A101" s="2" t="s">
        <v>252</v>
      </c>
      <c r="B101" s="12" t="s">
        <v>104</v>
      </c>
      <c r="C101" s="10" t="s">
        <v>368</v>
      </c>
      <c r="D101" s="8" t="s">
        <v>369</v>
      </c>
      <c r="E101" s="6" t="s">
        <v>369</v>
      </c>
      <c r="F101" s="64" t="s">
        <v>369</v>
      </c>
      <c r="G101" s="3" t="s">
        <v>145</v>
      </c>
    </row>
    <row r="102" spans="1:7" ht="180">
      <c r="A102" s="2" t="s">
        <v>253</v>
      </c>
      <c r="B102" s="12" t="s">
        <v>297</v>
      </c>
      <c r="C102" s="10" t="s">
        <v>368</v>
      </c>
      <c r="D102" s="8" t="s">
        <v>369</v>
      </c>
      <c r="E102" s="6" t="s">
        <v>369</v>
      </c>
      <c r="F102" s="64" t="s">
        <v>369</v>
      </c>
      <c r="G102" s="3" t="s">
        <v>369</v>
      </c>
    </row>
    <row r="103" spans="1:7" ht="45">
      <c r="A103" s="2" t="s">
        <v>105</v>
      </c>
      <c r="B103" s="12" t="s">
        <v>389</v>
      </c>
      <c r="C103" s="10" t="s">
        <v>389</v>
      </c>
      <c r="D103" s="8" t="s">
        <v>390</v>
      </c>
      <c r="E103" s="6" t="s">
        <v>391</v>
      </c>
      <c r="F103" s="64" t="s">
        <v>391</v>
      </c>
      <c r="G103" s="3" t="s">
        <v>390</v>
      </c>
    </row>
    <row r="104" spans="1:7" ht="165" customHeight="1">
      <c r="A104" s="2" t="s">
        <v>106</v>
      </c>
      <c r="B104" s="12" t="s">
        <v>254</v>
      </c>
      <c r="C104" s="10" t="s">
        <v>368</v>
      </c>
      <c r="D104" s="8" t="s">
        <v>369</v>
      </c>
      <c r="E104" s="6" t="s">
        <v>369</v>
      </c>
      <c r="F104" s="64" t="s">
        <v>369</v>
      </c>
      <c r="G104" s="3" t="s">
        <v>369</v>
      </c>
    </row>
    <row r="105" spans="1:7" ht="45">
      <c r="A105" s="2" t="s">
        <v>107</v>
      </c>
      <c r="B105" s="12" t="s">
        <v>254</v>
      </c>
      <c r="C105" s="10" t="s">
        <v>368</v>
      </c>
      <c r="D105" s="8" t="s">
        <v>369</v>
      </c>
      <c r="E105" s="6" t="s">
        <v>369</v>
      </c>
      <c r="F105" s="64" t="s">
        <v>369</v>
      </c>
      <c r="G105" s="3" t="s">
        <v>369</v>
      </c>
    </row>
    <row r="106" spans="1:7" ht="45">
      <c r="A106" s="2" t="s">
        <v>255</v>
      </c>
      <c r="B106" s="12" t="s">
        <v>368</v>
      </c>
      <c r="C106" s="10" t="s">
        <v>368</v>
      </c>
      <c r="D106" s="8" t="s">
        <v>392</v>
      </c>
      <c r="E106" s="6" t="s">
        <v>145</v>
      </c>
      <c r="F106" s="64" t="s">
        <v>369</v>
      </c>
      <c r="G106" s="3" t="s">
        <v>369</v>
      </c>
    </row>
    <row r="107" spans="1:7" ht="255">
      <c r="A107" s="2" t="s">
        <v>108</v>
      </c>
      <c r="B107" s="12" t="s">
        <v>368</v>
      </c>
      <c r="C107" s="10" t="s">
        <v>418</v>
      </c>
      <c r="D107" s="8" t="s">
        <v>369</v>
      </c>
      <c r="E107" s="6" t="s">
        <v>369</v>
      </c>
      <c r="F107" s="64" t="s">
        <v>369</v>
      </c>
      <c r="G107" s="3" t="s">
        <v>369</v>
      </c>
    </row>
    <row r="108" spans="1:7" ht="409.5">
      <c r="A108" s="2" t="s">
        <v>328</v>
      </c>
      <c r="B108" s="12" t="s">
        <v>436</v>
      </c>
      <c r="C108" s="10" t="s">
        <v>451</v>
      </c>
      <c r="D108" s="8" t="s">
        <v>369</v>
      </c>
      <c r="E108" s="6" t="s">
        <v>109</v>
      </c>
      <c r="F108" s="64" t="s">
        <v>369</v>
      </c>
      <c r="G108" s="3" t="s">
        <v>369</v>
      </c>
    </row>
    <row r="109" spans="1:7" ht="45">
      <c r="A109" s="2" t="s">
        <v>329</v>
      </c>
      <c r="B109" s="12" t="s">
        <v>256</v>
      </c>
      <c r="C109" s="10" t="s">
        <v>368</v>
      </c>
      <c r="D109" s="8" t="s">
        <v>369</v>
      </c>
      <c r="E109" s="6" t="s">
        <v>369</v>
      </c>
      <c r="F109" s="64" t="s">
        <v>369</v>
      </c>
      <c r="G109" s="3" t="s">
        <v>369</v>
      </c>
    </row>
    <row r="110" spans="1:7" ht="45">
      <c r="A110" s="2" t="s">
        <v>113</v>
      </c>
      <c r="B110" s="12" t="s">
        <v>114</v>
      </c>
      <c r="C110" s="10" t="s">
        <v>368</v>
      </c>
      <c r="D110" s="8" t="s">
        <v>369</v>
      </c>
      <c r="E110" s="6" t="s">
        <v>369</v>
      </c>
      <c r="F110" s="64" t="s">
        <v>369</v>
      </c>
      <c r="G110" s="3" t="s">
        <v>369</v>
      </c>
    </row>
    <row r="111" spans="1:7">
      <c r="A111" s="2" t="s">
        <v>257</v>
      </c>
      <c r="B111" s="12" t="s">
        <v>368</v>
      </c>
      <c r="C111" s="10" t="s">
        <v>376</v>
      </c>
      <c r="D111" s="8" t="s">
        <v>377</v>
      </c>
      <c r="E111" s="6" t="s">
        <v>377</v>
      </c>
      <c r="F111" s="64" t="s">
        <v>377</v>
      </c>
      <c r="G111" s="3" t="s">
        <v>377</v>
      </c>
    </row>
    <row r="112" spans="1:7" ht="45">
      <c r="A112" s="2" t="s">
        <v>258</v>
      </c>
      <c r="B112" s="12" t="s">
        <v>110</v>
      </c>
      <c r="C112" s="10" t="s">
        <v>368</v>
      </c>
      <c r="D112" s="8" t="s">
        <v>369</v>
      </c>
      <c r="E112" s="6" t="s">
        <v>369</v>
      </c>
      <c r="F112" s="64" t="s">
        <v>369</v>
      </c>
      <c r="G112" s="3" t="s">
        <v>369</v>
      </c>
    </row>
    <row r="113" spans="1:7" ht="45">
      <c r="A113" s="2" t="s">
        <v>111</v>
      </c>
      <c r="B113" s="12" t="s">
        <v>368</v>
      </c>
      <c r="C113" s="10" t="s">
        <v>368</v>
      </c>
      <c r="D113" s="8" t="s">
        <v>369</v>
      </c>
      <c r="E113" s="6" t="s">
        <v>369</v>
      </c>
      <c r="F113" s="64" t="s">
        <v>369</v>
      </c>
      <c r="G113" s="3" t="s">
        <v>369</v>
      </c>
    </row>
    <row r="114" spans="1:7" ht="45">
      <c r="A114" s="2" t="s">
        <v>259</v>
      </c>
      <c r="B114" s="12" t="s">
        <v>368</v>
      </c>
      <c r="C114" s="10" t="s">
        <v>368</v>
      </c>
      <c r="D114" s="8" t="s">
        <v>260</v>
      </c>
      <c r="E114" s="6" t="s">
        <v>261</v>
      </c>
      <c r="F114" s="64" t="s">
        <v>261</v>
      </c>
      <c r="G114" s="3" t="s">
        <v>369</v>
      </c>
    </row>
    <row r="115" spans="1:7" ht="150">
      <c r="A115" s="2" t="s">
        <v>311</v>
      </c>
      <c r="B115" s="12" t="s">
        <v>313</v>
      </c>
      <c r="C115" s="10" t="s">
        <v>312</v>
      </c>
      <c r="D115" s="8" t="s">
        <v>313</v>
      </c>
      <c r="E115" s="6" t="s">
        <v>437</v>
      </c>
      <c r="F115" s="64" t="s">
        <v>438</v>
      </c>
      <c r="G115" s="3" t="s">
        <v>314</v>
      </c>
    </row>
    <row r="116" spans="1:7" ht="75">
      <c r="A116" s="2" t="s">
        <v>441</v>
      </c>
      <c r="B116" s="12" t="s">
        <v>439</v>
      </c>
      <c r="C116" s="10" t="s">
        <v>376</v>
      </c>
      <c r="D116" s="8" t="s">
        <v>377</v>
      </c>
      <c r="E116" s="6" t="s">
        <v>377</v>
      </c>
      <c r="F116" s="64" t="s">
        <v>377</v>
      </c>
      <c r="G116" s="3" t="s">
        <v>377</v>
      </c>
    </row>
    <row r="117" spans="1:7" ht="60">
      <c r="A117" s="2" t="s">
        <v>353</v>
      </c>
      <c r="B117" s="12" t="s">
        <v>298</v>
      </c>
      <c r="C117" s="10" t="s">
        <v>368</v>
      </c>
      <c r="D117" s="8" t="s">
        <v>369</v>
      </c>
      <c r="E117" s="6" t="s">
        <v>393</v>
      </c>
      <c r="F117" s="64" t="s">
        <v>369</v>
      </c>
      <c r="G117" s="3" t="s">
        <v>369</v>
      </c>
    </row>
    <row r="118" spans="1:7" ht="210">
      <c r="A118" s="2" t="s">
        <v>112</v>
      </c>
      <c r="B118" s="12" t="s">
        <v>411</v>
      </c>
      <c r="C118" s="10" t="s">
        <v>452</v>
      </c>
      <c r="D118" s="8" t="s">
        <v>369</v>
      </c>
      <c r="E118" s="6" t="s">
        <v>262</v>
      </c>
      <c r="F118" s="64" t="s">
        <v>369</v>
      </c>
      <c r="G118" s="3" t="s">
        <v>369</v>
      </c>
    </row>
    <row r="119" spans="1:7" ht="45">
      <c r="A119" s="2" t="s">
        <v>115</v>
      </c>
      <c r="B119" s="12" t="s">
        <v>116</v>
      </c>
      <c r="C119" s="10" t="s">
        <v>368</v>
      </c>
      <c r="D119" s="8" t="s">
        <v>369</v>
      </c>
      <c r="E119" s="6" t="s">
        <v>7</v>
      </c>
      <c r="F119" s="64" t="s">
        <v>369</v>
      </c>
      <c r="G119" s="3" t="s">
        <v>369</v>
      </c>
    </row>
    <row r="120" spans="1:7" ht="45">
      <c r="A120" s="2" t="s">
        <v>117</v>
      </c>
      <c r="B120" s="12" t="s">
        <v>263</v>
      </c>
      <c r="C120" s="10" t="s">
        <v>368</v>
      </c>
      <c r="D120" s="8" t="s">
        <v>369</v>
      </c>
      <c r="E120" s="6" t="s">
        <v>369</v>
      </c>
      <c r="F120" s="64" t="s">
        <v>369</v>
      </c>
      <c r="G120" s="3" t="s">
        <v>369</v>
      </c>
    </row>
    <row r="121" spans="1:7" ht="60">
      <c r="A121" s="2" t="s">
        <v>118</v>
      </c>
      <c r="B121" s="12" t="s">
        <v>119</v>
      </c>
      <c r="C121" s="10" t="s">
        <v>368</v>
      </c>
      <c r="D121" s="8" t="s">
        <v>369</v>
      </c>
      <c r="E121" s="6" t="s">
        <v>369</v>
      </c>
      <c r="F121" s="64" t="s">
        <v>369</v>
      </c>
      <c r="G121" s="3" t="s">
        <v>369</v>
      </c>
    </row>
    <row r="122" spans="1:7" ht="45">
      <c r="A122" s="2" t="s">
        <v>120</v>
      </c>
      <c r="B122" s="12" t="s">
        <v>368</v>
      </c>
      <c r="C122" s="10" t="s">
        <v>368</v>
      </c>
      <c r="D122" s="8" t="s">
        <v>369</v>
      </c>
      <c r="E122" s="6" t="s">
        <v>369</v>
      </c>
      <c r="F122" s="64" t="s">
        <v>369</v>
      </c>
      <c r="G122" s="3" t="s">
        <v>369</v>
      </c>
    </row>
    <row r="123" spans="1:7" ht="255">
      <c r="A123" s="2" t="s">
        <v>121</v>
      </c>
      <c r="B123" s="12" t="s">
        <v>440</v>
      </c>
      <c r="C123" s="10" t="s">
        <v>368</v>
      </c>
      <c r="D123" s="8" t="s">
        <v>369</v>
      </c>
      <c r="E123" s="6" t="s">
        <v>369</v>
      </c>
      <c r="F123" s="64" t="s">
        <v>369</v>
      </c>
      <c r="G123" s="3" t="s">
        <v>369</v>
      </c>
    </row>
    <row r="124" spans="1:7" ht="120">
      <c r="A124" s="2" t="s">
        <v>122</v>
      </c>
      <c r="B124" s="12" t="s">
        <v>264</v>
      </c>
      <c r="C124" s="10" t="s">
        <v>265</v>
      </c>
      <c r="D124" s="8" t="s">
        <v>264</v>
      </c>
      <c r="E124" s="6" t="s">
        <v>123</v>
      </c>
      <c r="F124" s="64" t="s">
        <v>123</v>
      </c>
      <c r="G124" s="3" t="s">
        <v>17</v>
      </c>
    </row>
    <row r="125" spans="1:7" ht="225">
      <c r="A125" s="2" t="s">
        <v>124</v>
      </c>
      <c r="B125" s="12" t="s">
        <v>419</v>
      </c>
      <c r="C125" s="10" t="s">
        <v>420</v>
      </c>
      <c r="D125" s="8" t="s">
        <v>459</v>
      </c>
      <c r="E125" s="6" t="s">
        <v>421</v>
      </c>
      <c r="F125" s="64" t="s">
        <v>422</v>
      </c>
      <c r="G125" s="3" t="s">
        <v>423</v>
      </c>
    </row>
    <row r="126" spans="1:7" ht="105">
      <c r="A126" s="2" t="s">
        <v>125</v>
      </c>
      <c r="B126" s="12" t="s">
        <v>74</v>
      </c>
      <c r="C126" s="10" t="s">
        <v>74</v>
      </c>
      <c r="D126" s="8" t="s">
        <v>74</v>
      </c>
      <c r="E126" s="6" t="s">
        <v>126</v>
      </c>
      <c r="F126" s="64" t="s">
        <v>126</v>
      </c>
      <c r="G126" s="3" t="s">
        <v>74</v>
      </c>
    </row>
    <row r="127" spans="1:7" ht="45">
      <c r="A127" s="2" t="s">
        <v>366</v>
      </c>
      <c r="B127" s="12" t="s">
        <v>217</v>
      </c>
      <c r="C127" s="10" t="s">
        <v>218</v>
      </c>
      <c r="D127" s="8" t="s">
        <v>369</v>
      </c>
      <c r="E127" s="6" t="s">
        <v>369</v>
      </c>
      <c r="F127" s="64" t="s">
        <v>369</v>
      </c>
      <c r="G127" s="3" t="s">
        <v>218</v>
      </c>
    </row>
    <row r="128" spans="1:7" ht="30">
      <c r="A128" s="2" t="s">
        <v>3</v>
      </c>
      <c r="B128" s="12" t="s">
        <v>4</v>
      </c>
      <c r="C128" s="10" t="s">
        <v>219</v>
      </c>
      <c r="D128" s="8" t="s">
        <v>4</v>
      </c>
      <c r="E128" s="6" t="s">
        <v>4</v>
      </c>
      <c r="F128" s="64" t="s">
        <v>5</v>
      </c>
      <c r="G128" s="3" t="s">
        <v>219</v>
      </c>
    </row>
    <row r="129" spans="1:7" ht="409.5">
      <c r="A129" s="2" t="s">
        <v>127</v>
      </c>
      <c r="B129" s="12" t="s">
        <v>412</v>
      </c>
      <c r="C129" s="10" t="s">
        <v>453</v>
      </c>
      <c r="D129" s="8" t="s">
        <v>454</v>
      </c>
      <c r="E129" s="6" t="s">
        <v>413</v>
      </c>
      <c r="F129" s="64" t="s">
        <v>414</v>
      </c>
      <c r="G129" s="3" t="s">
        <v>299</v>
      </c>
    </row>
    <row r="130" spans="1:7" ht="45">
      <c r="A130" s="2" t="s">
        <v>128</v>
      </c>
      <c r="B130" s="12" t="s">
        <v>266</v>
      </c>
      <c r="C130" s="10" t="s">
        <v>368</v>
      </c>
      <c r="D130" s="8" t="s">
        <v>369</v>
      </c>
      <c r="E130" s="6" t="s">
        <v>369</v>
      </c>
      <c r="F130" s="64" t="s">
        <v>369</v>
      </c>
      <c r="G130" s="3" t="s">
        <v>369</v>
      </c>
    </row>
    <row r="131" spans="1:7" ht="409.5">
      <c r="A131" s="2" t="s">
        <v>129</v>
      </c>
      <c r="B131" s="12" t="s">
        <v>343</v>
      </c>
      <c r="C131" s="10" t="s">
        <v>130</v>
      </c>
      <c r="D131" s="8" t="s">
        <v>369</v>
      </c>
      <c r="E131" s="6" t="s">
        <v>369</v>
      </c>
      <c r="F131" s="64" t="s">
        <v>369</v>
      </c>
      <c r="G131" s="3" t="s">
        <v>369</v>
      </c>
    </row>
    <row r="132" spans="1:7" ht="165">
      <c r="A132" s="2" t="s">
        <v>131</v>
      </c>
      <c r="B132" s="12" t="s">
        <v>132</v>
      </c>
      <c r="C132" s="10" t="s">
        <v>368</v>
      </c>
      <c r="D132" s="8" t="s">
        <v>300</v>
      </c>
      <c r="E132" s="6" t="s">
        <v>455</v>
      </c>
      <c r="F132" s="64" t="s">
        <v>133</v>
      </c>
      <c r="G132" s="3" t="s">
        <v>369</v>
      </c>
    </row>
    <row r="133" spans="1:7" ht="135">
      <c r="A133" s="2" t="s">
        <v>330</v>
      </c>
      <c r="B133" s="12" t="s">
        <v>267</v>
      </c>
      <c r="C133" s="10" t="s">
        <v>134</v>
      </c>
      <c r="D133" s="8" t="s">
        <v>301</v>
      </c>
      <c r="E133" s="6" t="s">
        <v>268</v>
      </c>
      <c r="F133" s="64" t="s">
        <v>135</v>
      </c>
      <c r="G133" s="3" t="s">
        <v>268</v>
      </c>
    </row>
    <row r="134" spans="1:7" ht="45">
      <c r="A134" s="2" t="s">
        <v>136</v>
      </c>
      <c r="B134" s="12" t="s">
        <v>137</v>
      </c>
      <c r="C134" s="10" t="s">
        <v>368</v>
      </c>
      <c r="D134" s="8" t="s">
        <v>369</v>
      </c>
      <c r="E134" s="6" t="s">
        <v>369</v>
      </c>
      <c r="F134" s="64" t="s">
        <v>369</v>
      </c>
      <c r="G134" s="3" t="s">
        <v>369</v>
      </c>
    </row>
    <row r="135" spans="1:7" ht="45">
      <c r="A135" s="2" t="s">
        <v>138</v>
      </c>
      <c r="B135" s="12" t="s">
        <v>139</v>
      </c>
      <c r="C135" s="10" t="s">
        <v>368</v>
      </c>
      <c r="D135" s="8" t="s">
        <v>369</v>
      </c>
      <c r="E135" s="6" t="s">
        <v>369</v>
      </c>
      <c r="F135" s="64" t="s">
        <v>369</v>
      </c>
      <c r="G135" s="3" t="s">
        <v>369</v>
      </c>
    </row>
    <row r="136" spans="1:7" ht="90">
      <c r="A136" s="2" t="s">
        <v>140</v>
      </c>
      <c r="B136" s="12" t="s">
        <v>141</v>
      </c>
      <c r="C136" s="10" t="s">
        <v>368</v>
      </c>
      <c r="D136" s="8" t="s">
        <v>369</v>
      </c>
      <c r="E136" s="6" t="s">
        <v>369</v>
      </c>
      <c r="F136" s="64" t="s">
        <v>369</v>
      </c>
      <c r="G136" s="3" t="s">
        <v>369</v>
      </c>
    </row>
    <row r="137" spans="1:7" ht="45">
      <c r="A137" s="2" t="s">
        <v>142</v>
      </c>
      <c r="B137" s="12" t="s">
        <v>269</v>
      </c>
      <c r="C137" s="10" t="s">
        <v>368</v>
      </c>
      <c r="D137" s="8" t="s">
        <v>270</v>
      </c>
      <c r="E137" s="6" t="s">
        <v>271</v>
      </c>
      <c r="F137" s="64" t="s">
        <v>272</v>
      </c>
      <c r="G137" s="3" t="s">
        <v>369</v>
      </c>
    </row>
    <row r="138" spans="1:7" ht="45">
      <c r="A138" s="2" t="s">
        <v>143</v>
      </c>
      <c r="B138" s="12" t="s">
        <v>368</v>
      </c>
      <c r="C138" s="10" t="s">
        <v>368</v>
      </c>
      <c r="D138" s="8" t="s">
        <v>369</v>
      </c>
      <c r="E138" s="6" t="s">
        <v>369</v>
      </c>
      <c r="F138" s="64" t="s">
        <v>369</v>
      </c>
      <c r="G138" s="3" t="s">
        <v>369</v>
      </c>
    </row>
    <row r="139" spans="1:7">
      <c r="A139" s="2" t="s">
        <v>144</v>
      </c>
      <c r="B139" s="12" t="s">
        <v>273</v>
      </c>
      <c r="C139" s="10" t="s">
        <v>145</v>
      </c>
      <c r="D139" s="8" t="s">
        <v>145</v>
      </c>
      <c r="E139" s="6" t="s">
        <v>7</v>
      </c>
      <c r="F139" s="64" t="s">
        <v>273</v>
      </c>
      <c r="G139" s="3" t="s">
        <v>273</v>
      </c>
    </row>
    <row r="140" spans="1:7" ht="45">
      <c r="A140" s="2" t="s">
        <v>146</v>
      </c>
      <c r="B140" s="12" t="s">
        <v>368</v>
      </c>
      <c r="C140" s="10" t="s">
        <v>368</v>
      </c>
      <c r="D140" s="8" t="s">
        <v>369</v>
      </c>
      <c r="E140" s="6" t="s">
        <v>369</v>
      </c>
      <c r="F140" s="64" t="s">
        <v>369</v>
      </c>
      <c r="G140" s="3" t="s">
        <v>369</v>
      </c>
    </row>
    <row r="141" spans="1:7">
      <c r="A141" s="2" t="s">
        <v>147</v>
      </c>
      <c r="B141" s="12" t="s">
        <v>274</v>
      </c>
      <c r="C141" s="10" t="s">
        <v>274</v>
      </c>
      <c r="D141" s="8" t="s">
        <v>274</v>
      </c>
      <c r="E141" s="6" t="s">
        <v>274</v>
      </c>
      <c r="F141" s="64" t="s">
        <v>274</v>
      </c>
      <c r="G141" s="3" t="s">
        <v>274</v>
      </c>
    </row>
    <row r="142" spans="1:7">
      <c r="A142" s="2"/>
      <c r="B142" s="12"/>
      <c r="C142" s="10"/>
      <c r="D142" s="8"/>
      <c r="E142" s="6"/>
      <c r="F142" s="64"/>
      <c r="G142" s="3"/>
    </row>
    <row r="143" spans="1:7">
      <c r="A143" s="2"/>
      <c r="B143" s="12"/>
      <c r="C143" s="10"/>
      <c r="D143" s="8"/>
      <c r="E143" s="6"/>
      <c r="F143" s="64"/>
      <c r="G143" s="3"/>
    </row>
    <row r="144" spans="1:7">
      <c r="A144" s="2"/>
      <c r="B144" s="12"/>
      <c r="C144" s="10"/>
      <c r="D144" s="8"/>
      <c r="E144" s="6"/>
      <c r="F144" s="64"/>
      <c r="G144" s="3"/>
    </row>
    <row r="145" spans="1:7">
      <c r="A145" s="2"/>
      <c r="B145" s="12"/>
      <c r="C145" s="10"/>
      <c r="D145" s="8"/>
      <c r="E145" s="6"/>
      <c r="F145" s="64"/>
      <c r="G145" s="3"/>
    </row>
    <row r="146" spans="1:7">
      <c r="A146" s="2"/>
      <c r="B146" s="12"/>
      <c r="C146" s="10"/>
      <c r="D146" s="8"/>
      <c r="E146" s="6"/>
      <c r="F146" s="52"/>
      <c r="G146" s="3"/>
    </row>
    <row r="147" spans="1:7">
      <c r="A147" s="2"/>
      <c r="B147" s="12"/>
      <c r="C147" s="10"/>
      <c r="D147" s="8"/>
      <c r="E147" s="6"/>
      <c r="F147" s="52"/>
      <c r="G147" s="3"/>
    </row>
    <row r="148" spans="1:7">
      <c r="A148" s="2"/>
      <c r="B148" s="12"/>
      <c r="C148" s="10"/>
      <c r="D148" s="8"/>
      <c r="E148" s="6"/>
      <c r="F148" s="52"/>
      <c r="G148" s="3"/>
    </row>
    <row r="149" spans="1:7">
      <c r="A149" s="2"/>
      <c r="B149" s="12"/>
      <c r="C149" s="10"/>
      <c r="D149" s="8"/>
      <c r="E149" s="6"/>
      <c r="F149" s="52"/>
      <c r="G149" s="3"/>
    </row>
    <row r="150" spans="1:7">
      <c r="A150" s="2"/>
      <c r="B150" s="12"/>
      <c r="C150" s="10"/>
      <c r="D150" s="8"/>
      <c r="E150" s="6"/>
      <c r="F150" s="53"/>
      <c r="G150" s="3"/>
    </row>
    <row r="151" spans="1:7">
      <c r="A151" s="2"/>
      <c r="B151" s="12"/>
      <c r="C151" s="10"/>
      <c r="D151" s="8"/>
      <c r="E151" s="6"/>
      <c r="F151" s="5"/>
      <c r="G151" s="3"/>
    </row>
    <row r="152" spans="1:7">
      <c r="A152" s="2"/>
      <c r="B152" s="12"/>
      <c r="C152" s="10"/>
      <c r="D152" s="8"/>
      <c r="E152" s="6"/>
      <c r="F152" s="5"/>
      <c r="G152" s="3"/>
    </row>
    <row r="153" spans="1:7">
      <c r="A153" s="2"/>
      <c r="B153" s="12"/>
      <c r="C153" s="10"/>
      <c r="D153" s="8"/>
      <c r="E153" s="6"/>
      <c r="F153" s="5"/>
      <c r="G153" s="3"/>
    </row>
    <row r="154" spans="1:7">
      <c r="A154" s="2"/>
      <c r="B154" s="12"/>
      <c r="C154" s="10"/>
      <c r="D154" s="2"/>
      <c r="E154" s="6"/>
      <c r="F154" s="5"/>
      <c r="G154" s="3"/>
    </row>
    <row r="155" spans="1:7">
      <c r="A155" s="2"/>
      <c r="B155" s="12"/>
      <c r="C155" s="10"/>
      <c r="D155" s="2"/>
      <c r="E155" s="6"/>
      <c r="F155" s="5"/>
      <c r="G155" s="3"/>
    </row>
    <row r="156" spans="1:7">
      <c r="A156" s="2"/>
      <c r="B156" s="12"/>
      <c r="C156" s="2"/>
      <c r="D156" s="2"/>
      <c r="E156" s="6"/>
      <c r="F156" s="5"/>
      <c r="G156" s="3"/>
    </row>
    <row r="157" spans="1:7">
      <c r="A157" s="2"/>
      <c r="B157" s="12"/>
      <c r="C157" s="2"/>
      <c r="D157" s="2"/>
      <c r="E157" s="6"/>
      <c r="F157" s="5"/>
      <c r="G157" s="3"/>
    </row>
    <row r="158" spans="1:7">
      <c r="A158" s="2"/>
      <c r="B158" s="12"/>
      <c r="C158" s="2"/>
      <c r="D158" s="2"/>
      <c r="E158" s="6"/>
      <c r="F158" s="5"/>
      <c r="G158" s="3"/>
    </row>
    <row r="159" spans="1:7">
      <c r="A159" s="2"/>
      <c r="B159" s="12"/>
      <c r="C159" s="2"/>
      <c r="D159" s="2"/>
      <c r="E159" s="6"/>
      <c r="F159" s="5"/>
      <c r="G159" s="3"/>
    </row>
    <row r="160" spans="1:7">
      <c r="A160" s="2"/>
      <c r="B160" s="12"/>
      <c r="C160" s="2"/>
      <c r="D160" s="2"/>
      <c r="E160" s="6"/>
      <c r="F160" s="5"/>
      <c r="G160" s="3"/>
    </row>
    <row r="161" spans="1:7">
      <c r="A161" s="2"/>
      <c r="B161" s="12"/>
      <c r="C161" s="2"/>
      <c r="D161" s="2"/>
      <c r="E161" s="6"/>
      <c r="F161" s="5"/>
      <c r="G161" s="3"/>
    </row>
    <row r="162" spans="1:7">
      <c r="A162" s="2"/>
      <c r="B162" s="12"/>
      <c r="C162" s="2"/>
      <c r="D162" s="2"/>
      <c r="E162" s="6"/>
      <c r="F162" s="5"/>
      <c r="G162" s="3"/>
    </row>
    <row r="163" spans="1:7">
      <c r="A163" s="2"/>
      <c r="B163" s="12"/>
      <c r="C163" s="2"/>
      <c r="D163" s="2"/>
      <c r="E163" s="6"/>
      <c r="F163" s="5"/>
      <c r="G163" s="3"/>
    </row>
    <row r="164" spans="1:7">
      <c r="A164" s="2"/>
      <c r="B164" s="12"/>
      <c r="C164" s="2"/>
      <c r="D164" s="2"/>
      <c r="E164" s="6"/>
      <c r="F164" s="5"/>
      <c r="G164" s="3"/>
    </row>
    <row r="165" spans="1:7">
      <c r="A165" s="2"/>
      <c r="B165" s="12"/>
      <c r="C165" s="2"/>
      <c r="D165" s="2"/>
      <c r="E165" s="6"/>
      <c r="F165" s="5"/>
      <c r="G165" s="3"/>
    </row>
    <row r="166" spans="1:7" ht="30" customHeight="1">
      <c r="A166" s="2"/>
      <c r="B166" s="12"/>
      <c r="C166" s="2"/>
      <c r="D166" s="2"/>
      <c r="E166" s="6"/>
      <c r="F166" s="5"/>
      <c r="G166" s="3"/>
    </row>
    <row r="167" spans="1:7">
      <c r="A167" s="2"/>
      <c r="B167" s="12"/>
      <c r="C167" s="2"/>
      <c r="D167" s="2"/>
      <c r="E167" s="6"/>
      <c r="F167" s="5"/>
      <c r="G167" s="3"/>
    </row>
    <row r="168" spans="1:7">
      <c r="A168" s="2"/>
      <c r="B168" s="12"/>
      <c r="C168" s="2"/>
      <c r="D168" s="2"/>
      <c r="E168" s="6"/>
      <c r="F168" s="5"/>
      <c r="G168" s="3"/>
    </row>
    <row r="169" spans="1:7">
      <c r="A169" s="2"/>
      <c r="B169" s="12"/>
      <c r="C169" s="2"/>
      <c r="D169" s="2"/>
      <c r="E169" s="6"/>
      <c r="F169" s="5"/>
      <c r="G169" s="3"/>
    </row>
    <row r="170" spans="1:7">
      <c r="A170" s="2"/>
      <c r="B170" s="2"/>
      <c r="C170" s="2"/>
      <c r="D170" s="2"/>
      <c r="E170" s="2"/>
      <c r="F170" s="2"/>
      <c r="G170" s="2"/>
    </row>
    <row r="171" spans="1:7">
      <c r="A171" s="2"/>
      <c r="B171" s="2"/>
      <c r="C171" s="2"/>
      <c r="D171" s="2"/>
      <c r="E171" s="2"/>
      <c r="F171" s="2"/>
      <c r="G171" s="2"/>
    </row>
    <row r="172" spans="1:7">
      <c r="A172" s="2"/>
      <c r="B172" s="2"/>
      <c r="C172" s="2"/>
      <c r="D172" s="2"/>
      <c r="E172" s="2"/>
      <c r="F172" s="2"/>
      <c r="G172" s="2"/>
    </row>
    <row r="173" spans="1:7">
      <c r="A173" s="2"/>
      <c r="B173" s="2"/>
      <c r="C173" s="2"/>
      <c r="D173" s="2"/>
      <c r="E173" s="2"/>
      <c r="F173" s="2"/>
      <c r="G173" s="2"/>
    </row>
    <row r="174" spans="1:7">
      <c r="A174" s="2"/>
      <c r="B174" s="2"/>
      <c r="C174" s="2"/>
      <c r="D174" s="2"/>
      <c r="E174" s="2"/>
      <c r="F174" s="2"/>
      <c r="G174" s="2"/>
    </row>
    <row r="175" spans="1:7">
      <c r="A175" s="2"/>
      <c r="B175" s="2"/>
      <c r="C175" s="2"/>
      <c r="D175" s="2"/>
      <c r="E175" s="2"/>
      <c r="F175" s="2"/>
      <c r="G175" s="2"/>
    </row>
    <row r="176" spans="1:7">
      <c r="A176" s="2"/>
      <c r="B176" s="2"/>
      <c r="C176" s="2"/>
      <c r="D176" s="2"/>
      <c r="E176" s="2"/>
      <c r="F176" s="2"/>
      <c r="G176" s="2"/>
    </row>
    <row r="177" spans="1:7">
      <c r="A177" s="2"/>
      <c r="B177" s="2"/>
      <c r="C177" s="2"/>
      <c r="D177" s="2"/>
      <c r="E177" s="2"/>
      <c r="F177" s="2"/>
      <c r="G177" s="2"/>
    </row>
    <row r="178" spans="1:7">
      <c r="A178" s="2"/>
      <c r="B178" s="2"/>
      <c r="C178" s="2"/>
      <c r="D178" s="2"/>
      <c r="E178" s="2"/>
      <c r="F178" s="2"/>
      <c r="G178" s="2"/>
    </row>
    <row r="179" spans="1:7">
      <c r="A179" s="2"/>
      <c r="B179" s="2"/>
      <c r="C179" s="2"/>
      <c r="D179" s="2"/>
      <c r="E179" s="2"/>
      <c r="F179" s="2"/>
      <c r="G179" s="2"/>
    </row>
    <row r="180" spans="1:7">
      <c r="A180" s="2"/>
      <c r="B180" s="2"/>
      <c r="C180" s="2"/>
      <c r="D180" s="2"/>
      <c r="E180" s="2"/>
      <c r="F180" s="2"/>
      <c r="G180" s="2"/>
    </row>
    <row r="181" spans="1:7">
      <c r="A181" s="2"/>
      <c r="B181" s="2"/>
      <c r="C181" s="2"/>
      <c r="D181" s="2"/>
      <c r="E181" s="2"/>
      <c r="F181" s="2"/>
      <c r="G181" s="2"/>
    </row>
    <row r="182" spans="1:7">
      <c r="A182" s="2"/>
      <c r="B182" s="2"/>
      <c r="C182" s="2"/>
      <c r="D182" s="2"/>
      <c r="E182" s="2"/>
      <c r="F182" s="2"/>
      <c r="G182" s="2"/>
    </row>
    <row r="183" spans="1:7">
      <c r="A183" s="2"/>
      <c r="B183" s="2"/>
      <c r="C183" s="2"/>
      <c r="D183" s="2"/>
      <c r="E183" s="2"/>
      <c r="F183" s="2"/>
      <c r="G183" s="2"/>
    </row>
    <row r="184" spans="1:7">
      <c r="A184" s="2"/>
      <c r="B184" s="2"/>
      <c r="C184" s="2"/>
      <c r="D184" s="2"/>
      <c r="E184" s="2"/>
      <c r="F184" s="2"/>
      <c r="G184" s="2"/>
    </row>
    <row r="185" spans="1:7">
      <c r="A185" s="2"/>
      <c r="B185" s="2"/>
      <c r="C185" s="2"/>
      <c r="D185" s="2"/>
      <c r="E185" s="2"/>
      <c r="F185" s="2"/>
      <c r="G185" s="2"/>
    </row>
    <row r="186" spans="1:7">
      <c r="A186" s="2"/>
      <c r="B186" s="2"/>
      <c r="C186" s="2"/>
      <c r="D186" s="2"/>
      <c r="E186" s="2"/>
      <c r="F186" s="2"/>
      <c r="G186" s="2"/>
    </row>
    <row r="187" spans="1:7">
      <c r="A187" s="2"/>
      <c r="B187" s="2"/>
      <c r="C187" s="2"/>
      <c r="D187" s="2"/>
      <c r="E187" s="2"/>
      <c r="F187" s="2"/>
      <c r="G187" s="2"/>
    </row>
    <row r="188" spans="1:7">
      <c r="A188" s="2"/>
      <c r="B188" s="2"/>
      <c r="C188" s="2"/>
      <c r="D188" s="2"/>
      <c r="E188" s="2"/>
      <c r="F188" s="2"/>
      <c r="G188" s="2"/>
    </row>
    <row r="189" spans="1:7">
      <c r="A189" s="2"/>
      <c r="B189" s="2"/>
      <c r="C189" s="2"/>
      <c r="D189" s="2"/>
      <c r="E189" s="2"/>
      <c r="F189" s="2"/>
      <c r="G189" s="2"/>
    </row>
    <row r="190" spans="1:7">
      <c r="A190" s="2"/>
      <c r="B190" s="2"/>
      <c r="C190" s="2"/>
      <c r="D190" s="2"/>
      <c r="E190" s="2"/>
      <c r="F190" s="2"/>
      <c r="G190" s="2"/>
    </row>
    <row r="191" spans="1:7">
      <c r="A191" s="2"/>
      <c r="B191" s="2"/>
      <c r="C191" s="2"/>
      <c r="D191" s="2"/>
      <c r="E191" s="2"/>
      <c r="F191" s="2"/>
      <c r="G191" s="2"/>
    </row>
    <row r="192" spans="1:7">
      <c r="A192" s="2"/>
      <c r="B192" s="2"/>
      <c r="C192" s="2"/>
      <c r="D192" s="2"/>
      <c r="E192" s="2"/>
      <c r="F192" s="2"/>
      <c r="G192" s="2"/>
    </row>
    <row r="193" spans="1:7">
      <c r="A193" s="2"/>
      <c r="B193" s="2"/>
      <c r="C193" s="2"/>
      <c r="D193" s="2"/>
      <c r="E193" s="2"/>
      <c r="F193" s="2"/>
      <c r="G193" s="2"/>
    </row>
    <row r="194" spans="1:7">
      <c r="A194" s="2"/>
      <c r="B194" s="2"/>
      <c r="C194" s="2"/>
      <c r="D194" s="2"/>
      <c r="E194" s="2"/>
      <c r="F194" s="2"/>
      <c r="G194" s="2"/>
    </row>
    <row r="195" spans="1:7">
      <c r="A195" s="2"/>
      <c r="B195" s="2"/>
      <c r="C195" s="2"/>
      <c r="D195" s="2"/>
      <c r="E195" s="2"/>
      <c r="F195" s="2"/>
      <c r="G195" s="2"/>
    </row>
    <row r="196" spans="1:7">
      <c r="A196" s="2"/>
      <c r="B196" s="2"/>
      <c r="C196" s="2"/>
      <c r="D196" s="2"/>
      <c r="E196" s="2"/>
      <c r="F196" s="2"/>
      <c r="G196" s="2"/>
    </row>
    <row r="197" spans="1:7">
      <c r="A197" s="2"/>
      <c r="B197" s="2"/>
      <c r="C197" s="2"/>
      <c r="D197" s="2"/>
      <c r="E197" s="2"/>
      <c r="F197" s="2"/>
      <c r="G197" s="2"/>
    </row>
    <row r="198" spans="1:7">
      <c r="A198" s="2"/>
      <c r="B198" s="2"/>
      <c r="C198" s="2"/>
      <c r="D198" s="2"/>
      <c r="E198" s="2"/>
      <c r="F198" s="2"/>
      <c r="G198" s="2"/>
    </row>
    <row r="199" spans="1:7">
      <c r="A199" s="2"/>
      <c r="B199" s="2"/>
      <c r="C199" s="2"/>
      <c r="D199" s="2"/>
      <c r="E199" s="2"/>
      <c r="F199" s="2"/>
      <c r="G199" s="2"/>
    </row>
    <row r="200" spans="1:7">
      <c r="A200" s="2"/>
      <c r="B200" s="2"/>
      <c r="C200" s="2"/>
      <c r="D200" s="2"/>
      <c r="E200" s="2"/>
      <c r="F200" s="2"/>
      <c r="G200" s="2"/>
    </row>
    <row r="201" spans="1:7">
      <c r="A201" s="2"/>
      <c r="B201" s="2"/>
      <c r="C201" s="2"/>
      <c r="D201" s="2"/>
      <c r="E201" s="2"/>
      <c r="F201" s="2"/>
      <c r="G201" s="2"/>
    </row>
    <row r="202" spans="1:7">
      <c r="A202" s="2"/>
      <c r="B202" s="2"/>
      <c r="C202" s="2"/>
      <c r="D202" s="2"/>
      <c r="E202" s="2"/>
      <c r="F202" s="2"/>
      <c r="G202" s="2"/>
    </row>
    <row r="203" spans="1:7">
      <c r="A203" s="2"/>
      <c r="B203" s="2"/>
      <c r="C203" s="2"/>
      <c r="D203" s="2"/>
      <c r="E203" s="2"/>
      <c r="F203" s="2"/>
      <c r="G203" s="2"/>
    </row>
    <row r="204" spans="1:7">
      <c r="A204" s="2"/>
      <c r="B204" s="2"/>
      <c r="C204" s="2"/>
      <c r="D204" s="2"/>
      <c r="E204" s="2"/>
      <c r="F204" s="2"/>
      <c r="G204" s="2"/>
    </row>
    <row r="205" spans="1:7">
      <c r="A205" s="2"/>
      <c r="B205" s="2"/>
      <c r="C205" s="2"/>
      <c r="D205" s="2"/>
      <c r="E205" s="2"/>
      <c r="F205" s="2"/>
      <c r="G205" s="2"/>
    </row>
    <row r="206" spans="1:7">
      <c r="A206" s="2"/>
      <c r="B206" s="2"/>
      <c r="C206" s="2"/>
      <c r="D206" s="2"/>
      <c r="E206" s="2"/>
      <c r="F206" s="2"/>
      <c r="G206" s="2"/>
    </row>
    <row r="207" spans="1:7">
      <c r="A207" s="2"/>
      <c r="B207" s="2"/>
      <c r="C207" s="2"/>
      <c r="D207" s="2"/>
      <c r="E207" s="2"/>
      <c r="F207" s="2"/>
      <c r="G207" s="2"/>
    </row>
    <row r="208" spans="1:7">
      <c r="A208" s="2"/>
      <c r="B208" s="2"/>
      <c r="C208" s="2"/>
      <c r="D208" s="2"/>
      <c r="E208" s="2"/>
      <c r="F208" s="2"/>
      <c r="G208" s="2"/>
    </row>
    <row r="209" spans="1:7">
      <c r="A209" s="2"/>
      <c r="B209" s="2"/>
      <c r="C209" s="2"/>
      <c r="D209" s="2"/>
      <c r="E209" s="2"/>
      <c r="F209" s="2"/>
      <c r="G209" s="2"/>
    </row>
    <row r="210" spans="1:7">
      <c r="A210" s="2"/>
      <c r="B210" s="2"/>
      <c r="C210" s="2"/>
      <c r="D210" s="2"/>
      <c r="E210" s="2"/>
      <c r="F210" s="2"/>
      <c r="G210" s="2"/>
    </row>
    <row r="211" spans="1:7">
      <c r="A211" s="2"/>
      <c r="B211" s="2"/>
      <c r="C211" s="2"/>
      <c r="D211" s="2"/>
      <c r="E211" s="2"/>
      <c r="F211" s="2"/>
      <c r="G211" s="2"/>
    </row>
    <row r="212" spans="1:7">
      <c r="A212" s="2"/>
      <c r="B212" s="2"/>
      <c r="C212" s="2"/>
      <c r="D212" s="2"/>
      <c r="E212" s="2"/>
      <c r="F212" s="2"/>
      <c r="G212" s="2"/>
    </row>
    <row r="213" spans="1:7">
      <c r="A213" s="2"/>
      <c r="B213" s="2"/>
      <c r="C213" s="2"/>
      <c r="D213" s="2"/>
      <c r="E213" s="2"/>
      <c r="F213" s="2"/>
      <c r="G213" s="2"/>
    </row>
    <row r="214" spans="1:7">
      <c r="A214" s="2"/>
      <c r="B214" s="2"/>
      <c r="C214" s="2"/>
      <c r="D214" s="2"/>
      <c r="E214" s="2"/>
      <c r="F214" s="2"/>
      <c r="G214" s="2"/>
    </row>
    <row r="215" spans="1:7">
      <c r="A215" s="2"/>
      <c r="B215" s="2"/>
      <c r="C215" s="2"/>
      <c r="D215" s="2"/>
      <c r="E215" s="2"/>
      <c r="F215" s="2"/>
      <c r="G215" s="2"/>
    </row>
    <row r="216" spans="1:7">
      <c r="A216" s="2"/>
      <c r="B216" s="2"/>
      <c r="C216" s="2"/>
      <c r="D216" s="2"/>
      <c r="E216" s="2"/>
      <c r="F216" s="2"/>
      <c r="G216" s="2"/>
    </row>
    <row r="217" spans="1:7">
      <c r="A217" s="2"/>
      <c r="B217" s="2"/>
      <c r="C217" s="2"/>
      <c r="D217" s="2"/>
      <c r="E217" s="2"/>
      <c r="F217" s="2"/>
      <c r="G217" s="2"/>
    </row>
    <row r="218" spans="1:7">
      <c r="A218" s="2"/>
      <c r="B218" s="2"/>
      <c r="C218" s="2"/>
      <c r="D218" s="2"/>
      <c r="E218" s="2"/>
      <c r="F218" s="2"/>
      <c r="G218" s="2"/>
    </row>
    <row r="219" spans="1:7">
      <c r="A219" s="2"/>
      <c r="B219" s="2"/>
      <c r="C219" s="2"/>
      <c r="D219" s="2"/>
      <c r="E219" s="2"/>
      <c r="F219" s="2"/>
      <c r="G219" s="2"/>
    </row>
    <row r="220" spans="1:7">
      <c r="A220" s="2"/>
      <c r="B220" s="2"/>
      <c r="C220" s="2"/>
      <c r="D220" s="2"/>
      <c r="E220" s="2"/>
      <c r="F220" s="2"/>
      <c r="G220" s="2"/>
    </row>
    <row r="221" spans="1:7">
      <c r="A221" s="2"/>
      <c r="B221" s="2"/>
      <c r="C221" s="2"/>
      <c r="D221" s="2"/>
      <c r="E221" s="2"/>
      <c r="F221" s="2"/>
      <c r="G221" s="2"/>
    </row>
    <row r="222" spans="1:7">
      <c r="A222" s="2"/>
      <c r="B222" s="2"/>
      <c r="C222" s="2"/>
      <c r="D222" s="2"/>
      <c r="E222" s="2"/>
      <c r="F222" s="2"/>
      <c r="G222" s="2"/>
    </row>
    <row r="223" spans="1:7">
      <c r="A223" s="2"/>
      <c r="B223" s="2"/>
      <c r="C223" s="2"/>
      <c r="D223" s="2"/>
      <c r="E223" s="2"/>
      <c r="F223" s="2"/>
      <c r="G223" s="2"/>
    </row>
    <row r="224" spans="1:7">
      <c r="A224" s="2"/>
      <c r="B224" s="2"/>
      <c r="C224" s="2"/>
      <c r="D224" s="2"/>
      <c r="E224" s="2"/>
      <c r="F224" s="2"/>
      <c r="G224" s="2"/>
    </row>
    <row r="225" spans="1:7">
      <c r="A225" s="2"/>
      <c r="B225" s="2"/>
      <c r="C225" s="2"/>
      <c r="D225" s="2"/>
      <c r="E225" s="2"/>
      <c r="F225" s="2"/>
      <c r="G225" s="2"/>
    </row>
    <row r="226" spans="1:7">
      <c r="A226" s="2"/>
      <c r="B226" s="2"/>
      <c r="C226" s="2"/>
      <c r="D226" s="2"/>
      <c r="E226" s="2"/>
      <c r="F226" s="2"/>
      <c r="G226" s="2"/>
    </row>
    <row r="227" spans="1:7">
      <c r="A227" s="2"/>
      <c r="B227" s="2"/>
      <c r="C227" s="2"/>
      <c r="D227" s="2"/>
      <c r="E227" s="2"/>
      <c r="F227" s="2"/>
      <c r="G227" s="2"/>
    </row>
    <row r="228" spans="1:7">
      <c r="A228" s="2"/>
      <c r="B228" s="2"/>
      <c r="C228" s="2"/>
      <c r="D228" s="2"/>
      <c r="E228" s="2"/>
      <c r="F228" s="2"/>
      <c r="G228" s="2"/>
    </row>
    <row r="229" spans="1:7">
      <c r="A229" s="2"/>
      <c r="B229" s="2"/>
      <c r="C229" s="2"/>
      <c r="D229" s="2"/>
      <c r="E229" s="2"/>
      <c r="F229" s="2"/>
      <c r="G229" s="2"/>
    </row>
    <row r="230" spans="1:7">
      <c r="A230" s="2"/>
      <c r="B230" s="2"/>
      <c r="C230" s="2"/>
      <c r="D230" s="2"/>
      <c r="E230" s="2"/>
      <c r="F230" s="2"/>
      <c r="G230" s="2"/>
    </row>
    <row r="231" spans="1:7">
      <c r="A231" s="2"/>
      <c r="B231" s="2"/>
      <c r="C231" s="2"/>
      <c r="D231" s="2"/>
      <c r="E231" s="2"/>
      <c r="F231" s="2"/>
      <c r="G231" s="2"/>
    </row>
    <row r="232" spans="1:7">
      <c r="A232" s="2"/>
      <c r="B232" s="2"/>
      <c r="C232" s="2"/>
      <c r="D232" s="2"/>
      <c r="E232" s="2"/>
      <c r="F232" s="2"/>
      <c r="G232" s="2"/>
    </row>
    <row r="233" spans="1:7">
      <c r="A233" s="2"/>
      <c r="B233" s="2"/>
      <c r="C233" s="2"/>
      <c r="D233" s="2"/>
      <c r="E233" s="2"/>
      <c r="F233" s="2"/>
      <c r="G233" s="2"/>
    </row>
    <row r="234" spans="1:7">
      <c r="A234" s="2"/>
      <c r="B234" s="2"/>
      <c r="C234" s="2"/>
      <c r="D234" s="2"/>
      <c r="E234" s="2"/>
      <c r="F234" s="2"/>
      <c r="G234" s="2"/>
    </row>
    <row r="235" spans="1:7">
      <c r="A235" s="2"/>
      <c r="B235" s="2"/>
      <c r="C235" s="2"/>
      <c r="D235" s="2"/>
      <c r="E235" s="2"/>
      <c r="F235" s="2"/>
      <c r="G235" s="2"/>
    </row>
    <row r="236" spans="1:7">
      <c r="A236" s="2"/>
      <c r="B236" s="2"/>
      <c r="C236" s="2"/>
      <c r="D236" s="2"/>
      <c r="E236" s="2"/>
      <c r="F236" s="2"/>
      <c r="G236" s="2"/>
    </row>
    <row r="237" spans="1:7">
      <c r="A237" s="2"/>
      <c r="B237" s="2"/>
      <c r="C237" s="2"/>
      <c r="D237" s="2"/>
      <c r="E237" s="2"/>
      <c r="F237" s="2"/>
      <c r="G237" s="2"/>
    </row>
    <row r="238" spans="1:7">
      <c r="A238" s="2"/>
      <c r="B238" s="2"/>
      <c r="C238" s="2"/>
      <c r="D238" s="2"/>
      <c r="E238" s="2"/>
      <c r="F238" s="2"/>
      <c r="G238" s="2"/>
    </row>
    <row r="239" spans="1:7">
      <c r="A239" s="2"/>
      <c r="B239" s="2"/>
      <c r="C239" s="2"/>
      <c r="D239" s="2"/>
      <c r="E239" s="2"/>
      <c r="F239" s="2"/>
      <c r="G239" s="2"/>
    </row>
    <row r="240" spans="1:7">
      <c r="A240" s="2"/>
      <c r="B240" s="2"/>
      <c r="C240" s="2"/>
      <c r="D240" s="2"/>
      <c r="E240" s="2"/>
      <c r="F240" s="2"/>
      <c r="G240" s="2"/>
    </row>
    <row r="241" spans="1:7">
      <c r="A241" s="2"/>
      <c r="B241" s="2"/>
      <c r="C241" s="2"/>
      <c r="D241" s="2"/>
      <c r="E241" s="2"/>
      <c r="F241" s="2"/>
      <c r="G241" s="2"/>
    </row>
    <row r="242" spans="1:7">
      <c r="A242" s="2"/>
      <c r="B242" s="2"/>
      <c r="C242" s="2"/>
      <c r="D242" s="2"/>
      <c r="E242" s="2"/>
      <c r="F242" s="2"/>
      <c r="G242" s="2"/>
    </row>
    <row r="243" spans="1:7">
      <c r="A243" s="2"/>
      <c r="B243" s="2"/>
      <c r="C243" s="2"/>
      <c r="D243" s="2"/>
      <c r="E243" s="2"/>
      <c r="F243" s="2"/>
      <c r="G243" s="2"/>
    </row>
    <row r="244" spans="1:7">
      <c r="A244" s="2"/>
      <c r="B244" s="2"/>
      <c r="C244" s="2"/>
      <c r="D244" s="2"/>
      <c r="E244" s="2"/>
      <c r="F244" s="2"/>
      <c r="G244" s="2"/>
    </row>
    <row r="245" spans="1:7">
      <c r="A245" s="2"/>
      <c r="B245" s="2"/>
      <c r="C245" s="2"/>
      <c r="D245" s="2"/>
      <c r="E245" s="2"/>
      <c r="F245" s="2"/>
      <c r="G245" s="2"/>
    </row>
    <row r="246" spans="1:7">
      <c r="A246" s="2"/>
      <c r="B246" s="2"/>
      <c r="C246" s="2"/>
      <c r="D246" s="2"/>
      <c r="E246" s="2"/>
      <c r="F246" s="2"/>
      <c r="G246" s="2"/>
    </row>
    <row r="247" spans="1:7">
      <c r="A247" s="2"/>
      <c r="B247" s="2"/>
      <c r="C247" s="2"/>
      <c r="D247" s="2"/>
      <c r="E247" s="2"/>
      <c r="F247" s="2"/>
      <c r="G247" s="2"/>
    </row>
    <row r="248" spans="1:7">
      <c r="A248" s="2"/>
      <c r="B248" s="2"/>
      <c r="C248" s="2"/>
      <c r="D248" s="2"/>
      <c r="E248" s="2"/>
      <c r="F248" s="2"/>
      <c r="G248" s="2"/>
    </row>
    <row r="249" spans="1:7">
      <c r="A249" s="2"/>
      <c r="B249" s="2"/>
      <c r="C249" s="2"/>
      <c r="D249" s="2"/>
      <c r="E249" s="2"/>
      <c r="F249" s="2"/>
      <c r="G249" s="2"/>
    </row>
    <row r="250" spans="1:7">
      <c r="A250" s="2"/>
      <c r="B250" s="2"/>
      <c r="C250" s="2"/>
      <c r="D250" s="2"/>
      <c r="E250" s="2"/>
      <c r="F250" s="2"/>
      <c r="G250" s="2"/>
    </row>
    <row r="251" spans="1:7">
      <c r="A251" s="2"/>
      <c r="B251" s="2"/>
      <c r="C251" s="2"/>
      <c r="D251" s="2"/>
      <c r="E251" s="2"/>
      <c r="F251" s="2"/>
      <c r="G251" s="2"/>
    </row>
    <row r="252" spans="1:7">
      <c r="A252" s="2"/>
      <c r="B252" s="2"/>
      <c r="C252" s="2"/>
      <c r="D252" s="2"/>
      <c r="E252" s="2"/>
      <c r="F252" s="2"/>
      <c r="G252" s="2"/>
    </row>
    <row r="253" spans="1:7">
      <c r="A253" s="2"/>
      <c r="B253" s="2"/>
      <c r="C253" s="2"/>
      <c r="D253" s="2"/>
      <c r="E253" s="2"/>
      <c r="F253" s="2"/>
      <c r="G253" s="2"/>
    </row>
    <row r="254" spans="1:7">
      <c r="A254" s="2"/>
      <c r="B254" s="2"/>
      <c r="C254" s="2"/>
      <c r="D254" s="2"/>
      <c r="E254" s="2"/>
      <c r="F254" s="2"/>
      <c r="G254" s="2"/>
    </row>
    <row r="255" spans="1:7">
      <c r="A255" s="2"/>
      <c r="B255" s="2"/>
      <c r="C255" s="2"/>
      <c r="D255" s="2"/>
      <c r="E255" s="2"/>
      <c r="F255" s="2"/>
      <c r="G255" s="2"/>
    </row>
    <row r="256" spans="1:7">
      <c r="A256" s="2"/>
      <c r="B256" s="2"/>
      <c r="C256" s="2"/>
      <c r="D256" s="2"/>
      <c r="E256" s="2"/>
      <c r="F256" s="2"/>
      <c r="G256" s="2"/>
    </row>
    <row r="257" spans="1:7">
      <c r="A257" s="2"/>
      <c r="B257" s="2"/>
      <c r="C257" s="2"/>
      <c r="D257" s="2"/>
      <c r="E257" s="2"/>
      <c r="F257" s="2"/>
      <c r="G257" s="2"/>
    </row>
    <row r="258" spans="1:7">
      <c r="A258" s="2"/>
      <c r="B258" s="2"/>
      <c r="C258" s="2"/>
      <c r="D258" s="2"/>
      <c r="E258" s="2"/>
      <c r="F258" s="2"/>
      <c r="G258" s="2"/>
    </row>
    <row r="259" spans="1:7">
      <c r="A259" s="2"/>
      <c r="B259" s="2"/>
      <c r="C259" s="2"/>
      <c r="D259" s="2"/>
      <c r="E259" s="2"/>
      <c r="F259" s="2"/>
      <c r="G259" s="2"/>
    </row>
    <row r="260" spans="1:7">
      <c r="A260" s="2"/>
      <c r="B260" s="2"/>
      <c r="C260" s="2"/>
      <c r="D260" s="2"/>
      <c r="E260" s="2"/>
      <c r="F260" s="2"/>
      <c r="G260" s="2"/>
    </row>
    <row r="261" spans="1:7">
      <c r="A261" s="2"/>
      <c r="B261" s="2"/>
      <c r="C261" s="2"/>
      <c r="D261" s="2"/>
      <c r="E261" s="2"/>
      <c r="F261" s="2"/>
      <c r="G261" s="2"/>
    </row>
    <row r="262" spans="1:7">
      <c r="A262" s="2"/>
      <c r="B262" s="2"/>
      <c r="C262" s="2"/>
      <c r="D262" s="2"/>
      <c r="E262" s="2"/>
      <c r="F262" s="2"/>
      <c r="G262" s="2"/>
    </row>
    <row r="263" spans="1:7">
      <c r="A263" s="2"/>
      <c r="B263" s="2"/>
      <c r="C263" s="2"/>
      <c r="D263" s="2"/>
      <c r="E263" s="2"/>
      <c r="F263" s="2"/>
      <c r="G263" s="2"/>
    </row>
    <row r="264" spans="1:7">
      <c r="A264" s="2"/>
      <c r="B264" s="2"/>
      <c r="C264" s="2"/>
      <c r="D264" s="2"/>
      <c r="E264" s="2"/>
      <c r="F264" s="2"/>
      <c r="G264" s="2"/>
    </row>
    <row r="265" spans="1:7">
      <c r="A265" s="2"/>
      <c r="B265" s="2"/>
      <c r="C265" s="2"/>
      <c r="D265" s="2"/>
      <c r="E265" s="2"/>
      <c r="F265" s="2"/>
      <c r="G265" s="2"/>
    </row>
    <row r="266" spans="1:7">
      <c r="A266" s="2"/>
      <c r="B266" s="2"/>
      <c r="C266" s="2"/>
      <c r="D266" s="2"/>
      <c r="E266" s="2"/>
      <c r="F266" s="2"/>
      <c r="G266" s="2"/>
    </row>
    <row r="267" spans="1:7">
      <c r="A267" s="2"/>
      <c r="B267" s="2"/>
      <c r="C267" s="2"/>
      <c r="D267" s="2"/>
      <c r="E267" s="2"/>
      <c r="F267" s="2"/>
      <c r="G267" s="2"/>
    </row>
    <row r="268" spans="1:7">
      <c r="A268" s="2"/>
      <c r="B268" s="2"/>
      <c r="C268" s="2"/>
      <c r="D268" s="2"/>
      <c r="E268" s="2"/>
      <c r="F268" s="2"/>
      <c r="G268" s="2"/>
    </row>
    <row r="269" spans="1:7">
      <c r="A269" s="2"/>
      <c r="B269" s="2"/>
      <c r="C269" s="2"/>
      <c r="D269" s="2"/>
      <c r="E269" s="2"/>
      <c r="F269" s="2"/>
      <c r="G269" s="2"/>
    </row>
    <row r="270" spans="1:7">
      <c r="A270" s="2"/>
      <c r="B270" s="2"/>
      <c r="C270" s="2"/>
      <c r="D270" s="2"/>
      <c r="E270" s="2"/>
      <c r="F270" s="2"/>
      <c r="G270" s="2"/>
    </row>
    <row r="271" spans="1:7">
      <c r="A271" s="2"/>
      <c r="B271" s="2"/>
      <c r="C271" s="2"/>
      <c r="D271" s="2"/>
      <c r="E271" s="2"/>
      <c r="F271" s="2"/>
      <c r="G271" s="2"/>
    </row>
    <row r="272" spans="1:7">
      <c r="A272" s="2"/>
      <c r="B272" s="2"/>
      <c r="C272" s="2"/>
      <c r="D272" s="2"/>
      <c r="E272" s="2"/>
      <c r="F272" s="2"/>
      <c r="G272" s="2"/>
    </row>
    <row r="273" spans="1:7">
      <c r="A273" s="2"/>
      <c r="B273" s="2"/>
      <c r="C273" s="2"/>
      <c r="D273" s="2"/>
      <c r="E273" s="2"/>
      <c r="F273" s="2"/>
      <c r="G273" s="2"/>
    </row>
    <row r="274" spans="1:7">
      <c r="A274" s="2"/>
      <c r="B274" s="2"/>
      <c r="C274" s="2"/>
      <c r="D274" s="2"/>
      <c r="E274" s="2"/>
      <c r="F274" s="2"/>
      <c r="G274" s="2"/>
    </row>
    <row r="275" spans="1:7">
      <c r="A275" s="2"/>
      <c r="B275" s="2"/>
      <c r="C275" s="2"/>
      <c r="D275" s="2"/>
      <c r="E275" s="2"/>
      <c r="F275" s="2"/>
      <c r="G275" s="2"/>
    </row>
    <row r="276" spans="1:7">
      <c r="A276" s="2"/>
      <c r="B276" s="2"/>
      <c r="C276" s="2"/>
      <c r="D276" s="2"/>
      <c r="E276" s="2"/>
      <c r="F276" s="2"/>
      <c r="G276" s="2"/>
    </row>
    <row r="277" spans="1:7">
      <c r="A277" s="2"/>
      <c r="B277" s="2"/>
      <c r="C277" s="2"/>
      <c r="D277" s="2"/>
      <c r="E277" s="2"/>
      <c r="F277" s="2"/>
      <c r="G277" s="2"/>
    </row>
    <row r="278" spans="1:7">
      <c r="A278" s="2"/>
      <c r="B278" s="2"/>
      <c r="C278" s="2"/>
      <c r="D278" s="2"/>
      <c r="E278" s="2"/>
      <c r="F278" s="2"/>
      <c r="G278" s="2"/>
    </row>
    <row r="279" spans="1:7">
      <c r="A279" s="2"/>
      <c r="B279" s="2"/>
      <c r="C279" s="2"/>
      <c r="D279" s="2"/>
      <c r="E279" s="2"/>
      <c r="F279" s="2"/>
      <c r="G279" s="2"/>
    </row>
    <row r="280" spans="1:7">
      <c r="A280" s="2"/>
      <c r="B280" s="2"/>
      <c r="C280" s="2"/>
      <c r="D280" s="2"/>
      <c r="E280" s="2"/>
      <c r="F280" s="2"/>
      <c r="G280" s="2"/>
    </row>
    <row r="281" spans="1:7">
      <c r="A281" s="2"/>
      <c r="B281" s="2"/>
      <c r="C281" s="2"/>
      <c r="D281" s="2"/>
      <c r="E281" s="2"/>
      <c r="F281" s="2"/>
      <c r="G281" s="2"/>
    </row>
    <row r="282" spans="1:7">
      <c r="A282" s="2"/>
      <c r="B282" s="2"/>
      <c r="C282" s="2"/>
      <c r="D282" s="2"/>
      <c r="E282" s="2"/>
      <c r="F282" s="2"/>
      <c r="G282" s="2"/>
    </row>
    <row r="283" spans="1:7">
      <c r="A283" s="2"/>
      <c r="B283" s="2"/>
      <c r="C283" s="2"/>
      <c r="D283" s="2"/>
      <c r="E283" s="2"/>
      <c r="F283" s="2"/>
      <c r="G283" s="2"/>
    </row>
    <row r="284" spans="1:7">
      <c r="A284" s="2"/>
      <c r="B284" s="2"/>
      <c r="C284" s="2"/>
      <c r="D284" s="2"/>
      <c r="E284" s="2"/>
      <c r="F284" s="2"/>
      <c r="G284" s="2"/>
    </row>
    <row r="285" spans="1:7">
      <c r="A285" s="2"/>
      <c r="B285" s="2"/>
      <c r="C285" s="2"/>
      <c r="D285" s="2"/>
      <c r="E285" s="2"/>
      <c r="F285" s="2"/>
      <c r="G285" s="2"/>
    </row>
    <row r="286" spans="1:7">
      <c r="A286" s="2"/>
      <c r="B286" s="2"/>
      <c r="C286" s="2"/>
      <c r="D286" s="2"/>
      <c r="E286" s="2"/>
      <c r="F286" s="2"/>
      <c r="G286" s="2"/>
    </row>
    <row r="287" spans="1:7">
      <c r="A287" s="2"/>
      <c r="B287" s="2"/>
      <c r="C287" s="2"/>
      <c r="D287" s="2"/>
      <c r="E287" s="2"/>
      <c r="F287" s="2"/>
      <c r="G287" s="2"/>
    </row>
    <row r="288" spans="1:7">
      <c r="A288" s="2"/>
      <c r="B288" s="2"/>
      <c r="C288" s="2"/>
      <c r="D288" s="2"/>
      <c r="E288" s="2"/>
      <c r="F288" s="2"/>
      <c r="G288" s="2"/>
    </row>
  </sheetData>
  <dataConsolidate/>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EECAC-E61F-4492-BB1F-30C80C2C270D}">
  <sheetPr codeName="Sheet5"/>
  <dimension ref="A1:N6"/>
  <sheetViews>
    <sheetView workbookViewId="0">
      <selection activeCell="D125" sqref="D125"/>
    </sheetView>
  </sheetViews>
  <sheetFormatPr defaultRowHeight="15"/>
  <cols>
    <col min="5" max="5" width="14.28515625" customWidth="1"/>
    <col min="9" max="9" width="11.85546875" customWidth="1"/>
  </cols>
  <sheetData>
    <row r="1" spans="1:14">
      <c r="A1" t="s">
        <v>160</v>
      </c>
      <c r="C1" t="s">
        <v>160</v>
      </c>
      <c r="E1" t="s">
        <v>161</v>
      </c>
      <c r="G1" t="s">
        <v>160</v>
      </c>
      <c r="I1" t="s">
        <v>160</v>
      </c>
      <c r="K1" t="s">
        <v>160</v>
      </c>
      <c r="N1" t="s">
        <v>161</v>
      </c>
    </row>
    <row r="2" spans="1:14">
      <c r="A2" t="s">
        <v>168</v>
      </c>
      <c r="C2" t="s">
        <v>168</v>
      </c>
      <c r="E2" t="s">
        <v>213</v>
      </c>
      <c r="G2" t="s">
        <v>332</v>
      </c>
      <c r="I2" t="s">
        <v>84</v>
      </c>
      <c r="K2" t="s">
        <v>184</v>
      </c>
      <c r="N2" t="s">
        <v>428</v>
      </c>
    </row>
    <row r="3" spans="1:14">
      <c r="A3" t="s">
        <v>169</v>
      </c>
      <c r="C3" t="s">
        <v>169</v>
      </c>
      <c r="E3" t="s">
        <v>178</v>
      </c>
      <c r="G3" t="s">
        <v>171</v>
      </c>
      <c r="I3" t="s">
        <v>175</v>
      </c>
      <c r="K3" t="s">
        <v>185</v>
      </c>
      <c r="N3" t="s">
        <v>429</v>
      </c>
    </row>
    <row r="4" spans="1:14">
      <c r="C4" t="s">
        <v>212</v>
      </c>
      <c r="E4" t="s">
        <v>179</v>
      </c>
      <c r="G4" t="s">
        <v>172</v>
      </c>
      <c r="I4" t="s">
        <v>176</v>
      </c>
      <c r="K4" t="s">
        <v>182</v>
      </c>
      <c r="N4" t="s">
        <v>430</v>
      </c>
    </row>
    <row r="5" spans="1:14">
      <c r="I5" t="s">
        <v>205</v>
      </c>
    </row>
    <row r="6" spans="1:14">
      <c r="I6" t="s">
        <v>177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29071-3EE3-4449-98E3-337449AF152A}">
  <sheetPr codeName="Sheet6"/>
  <dimension ref="A1:XFC302"/>
  <sheetViews>
    <sheetView showGridLines="0" zoomScale="70" zoomScaleNormal="70" workbookViewId="0">
      <selection activeCell="B3" sqref="B3"/>
    </sheetView>
  </sheetViews>
  <sheetFormatPr defaultColWidth="0" defaultRowHeight="23.25" zeroHeight="1"/>
  <cols>
    <col min="1" max="1" width="132.42578125" style="70" bestFit="1" customWidth="1"/>
    <col min="2" max="2" width="255.5703125" style="19" bestFit="1" customWidth="1"/>
    <col min="3" max="3" width="183" style="19" bestFit="1" customWidth="1"/>
    <col min="4" max="4" width="137.85546875" style="19" bestFit="1" customWidth="1"/>
    <col min="5" max="5" width="161.5703125" style="19" bestFit="1" customWidth="1"/>
    <col min="6" max="6" width="137.85546875" style="19" customWidth="1"/>
    <col min="7" max="7" width="135.7109375" style="19" customWidth="1"/>
    <col min="8" max="8" width="2.5703125" customWidth="1"/>
    <col min="9" max="9" width="9.140625" customWidth="1"/>
    <col min="10" max="16383" width="9.140625" hidden="1"/>
    <col min="16384" max="16384" width="13.140625" hidden="1"/>
  </cols>
  <sheetData>
    <row r="1" spans="1:8" ht="69.75" customHeight="1">
      <c r="A1" s="155" t="s">
        <v>200</v>
      </c>
      <c r="B1" s="155"/>
      <c r="C1" s="155"/>
      <c r="D1" s="26"/>
      <c r="E1" s="25"/>
      <c r="F1" s="25"/>
      <c r="G1" s="25"/>
    </row>
    <row r="2" spans="1:8">
      <c r="A2" s="69" t="s">
        <v>154</v>
      </c>
      <c r="B2" s="68"/>
      <c r="C2" s="23"/>
      <c r="D2" s="23"/>
      <c r="E2" s="23"/>
      <c r="F2" s="23"/>
      <c r="G2" s="23"/>
    </row>
    <row r="3" spans="1:8" ht="24">
      <c r="A3" s="88"/>
      <c r="B3" s="157"/>
      <c r="C3" s="156"/>
      <c r="D3" s="156"/>
      <c r="E3" s="156"/>
      <c r="F3" s="156"/>
      <c r="G3" s="156"/>
      <c r="H3">
        <v>0</v>
      </c>
    </row>
    <row r="4" spans="1:8" ht="24">
      <c r="A4" s="88"/>
      <c r="B4" s="98"/>
      <c r="C4" s="95"/>
      <c r="D4" s="95"/>
      <c r="E4" s="95"/>
      <c r="F4" s="95"/>
      <c r="G4" s="95"/>
    </row>
    <row r="5" spans="1:8" ht="24">
      <c r="A5" s="88"/>
      <c r="B5" s="157"/>
      <c r="C5" s="156"/>
      <c r="D5" s="156"/>
      <c r="E5" s="156"/>
      <c r="F5" s="156"/>
      <c r="G5" s="156"/>
    </row>
    <row r="6" spans="1:8" ht="24">
      <c r="A6" s="88"/>
      <c r="B6" s="157"/>
      <c r="C6" s="156"/>
      <c r="D6" s="156"/>
      <c r="E6" s="156"/>
      <c r="F6" s="156"/>
      <c r="G6" s="156"/>
    </row>
    <row r="7" spans="1:8" ht="24">
      <c r="A7" s="88"/>
      <c r="B7" s="157"/>
      <c r="C7" s="156"/>
      <c r="D7" s="156"/>
      <c r="E7" s="156"/>
      <c r="F7" s="156"/>
      <c r="G7" s="156"/>
    </row>
    <row r="8" spans="1:8" ht="24">
      <c r="A8" s="88"/>
      <c r="B8" s="157"/>
      <c r="C8" s="156"/>
      <c r="D8" s="156"/>
      <c r="E8" s="156"/>
      <c r="F8" s="156"/>
      <c r="G8" s="156"/>
    </row>
    <row r="9" spans="1:8" ht="24">
      <c r="A9" s="88"/>
      <c r="B9" s="157"/>
      <c r="C9" s="156"/>
      <c r="D9" s="156"/>
      <c r="E9" s="156"/>
      <c r="F9" s="156"/>
      <c r="G9" s="156"/>
    </row>
    <row r="10" spans="1:8" ht="24">
      <c r="A10" s="88"/>
      <c r="B10" s="157"/>
      <c r="C10" s="156"/>
      <c r="D10" s="156"/>
      <c r="E10" s="156"/>
      <c r="F10" s="156"/>
      <c r="G10" s="156"/>
    </row>
    <row r="11" spans="1:8" ht="24">
      <c r="A11" s="88"/>
      <c r="B11" s="157"/>
      <c r="C11" s="156"/>
      <c r="D11" s="156"/>
      <c r="E11" s="156"/>
      <c r="F11" s="156"/>
      <c r="G11" s="156"/>
    </row>
    <row r="12" spans="1:8" ht="24">
      <c r="A12" s="88"/>
      <c r="B12" s="157"/>
      <c r="C12" s="156"/>
      <c r="D12" s="156"/>
      <c r="E12" s="156"/>
      <c r="F12" s="156"/>
      <c r="G12" s="156"/>
    </row>
    <row r="13" spans="1:8" ht="24">
      <c r="A13" s="88"/>
      <c r="B13" s="157"/>
      <c r="C13" s="156"/>
      <c r="D13" s="156"/>
      <c r="E13" s="156"/>
      <c r="F13" s="156"/>
      <c r="G13" s="156"/>
    </row>
    <row r="14" spans="1:8" ht="24">
      <c r="A14" s="88"/>
      <c r="B14" s="157"/>
      <c r="C14" s="156"/>
      <c r="D14" s="156"/>
      <c r="E14" s="156"/>
      <c r="F14" s="156"/>
      <c r="G14" s="156"/>
    </row>
    <row r="15" spans="1:8" ht="24">
      <c r="A15" s="88"/>
      <c r="B15" s="157"/>
      <c r="C15" s="156"/>
      <c r="D15" s="156"/>
      <c r="E15" s="156"/>
      <c r="F15" s="156"/>
      <c r="G15" s="156"/>
    </row>
    <row r="16" spans="1:8" ht="24">
      <c r="A16" s="88"/>
      <c r="B16" s="157"/>
      <c r="C16" s="156"/>
      <c r="D16" s="156"/>
      <c r="E16" s="156"/>
      <c r="F16" s="156"/>
      <c r="G16" s="156"/>
    </row>
    <row r="17" spans="1:7" ht="24">
      <c r="A17" s="88"/>
      <c r="B17" s="157"/>
      <c r="C17" s="156"/>
      <c r="D17" s="156"/>
      <c r="E17" s="156"/>
      <c r="F17" s="156"/>
      <c r="G17" s="156"/>
    </row>
    <row r="18" spans="1:7" ht="24">
      <c r="A18" s="88"/>
      <c r="B18" s="157"/>
      <c r="C18" s="156"/>
      <c r="D18" s="156"/>
      <c r="E18" s="156"/>
      <c r="F18" s="156"/>
      <c r="G18" s="156"/>
    </row>
    <row r="19" spans="1:7" ht="24">
      <c r="A19" s="88"/>
      <c r="B19" s="157"/>
      <c r="C19" s="156"/>
      <c r="D19" s="156"/>
      <c r="E19" s="156"/>
      <c r="F19" s="156"/>
      <c r="G19" s="156"/>
    </row>
    <row r="20" spans="1:7" ht="24">
      <c r="A20" s="88"/>
      <c r="B20" s="157"/>
      <c r="C20" s="156"/>
      <c r="D20" s="156"/>
      <c r="E20" s="156"/>
      <c r="F20" s="156"/>
      <c r="G20" s="156"/>
    </row>
    <row r="21" spans="1:7" ht="24">
      <c r="A21" s="88"/>
      <c r="B21" s="157"/>
      <c r="C21" s="156"/>
      <c r="D21" s="156"/>
      <c r="E21" s="156"/>
      <c r="F21" s="156"/>
      <c r="G21" s="156"/>
    </row>
    <row r="22" spans="1:7" ht="24">
      <c r="A22" s="88"/>
      <c r="B22" s="157"/>
      <c r="C22" s="156"/>
      <c r="D22" s="156"/>
      <c r="E22" s="156"/>
      <c r="F22" s="156"/>
      <c r="G22" s="156"/>
    </row>
    <row r="23" spans="1:7" ht="24">
      <c r="A23" s="88"/>
      <c r="B23" s="157"/>
      <c r="C23" s="156"/>
      <c r="D23" s="156"/>
      <c r="E23" s="156"/>
      <c r="F23" s="156"/>
      <c r="G23" s="156"/>
    </row>
    <row r="24" spans="1:7" ht="24">
      <c r="A24" s="88"/>
      <c r="B24" s="157"/>
      <c r="C24" s="156"/>
      <c r="D24" s="156"/>
      <c r="E24" s="156"/>
      <c r="F24" s="156"/>
      <c r="G24" s="156"/>
    </row>
    <row r="25" spans="1:7" ht="24">
      <c r="A25" s="88"/>
      <c r="B25" s="157"/>
      <c r="C25" s="156"/>
      <c r="D25" s="156"/>
      <c r="E25" s="156"/>
      <c r="F25" s="156"/>
      <c r="G25" s="156"/>
    </row>
    <row r="26" spans="1:7" ht="24">
      <c r="A26" s="88"/>
      <c r="B26" s="157"/>
      <c r="C26" s="156"/>
      <c r="D26" s="156"/>
      <c r="E26" s="156"/>
      <c r="F26" s="156"/>
      <c r="G26" s="156"/>
    </row>
    <row r="27" spans="1:7" ht="24">
      <c r="A27" s="88"/>
      <c r="B27" s="157"/>
      <c r="C27" s="156"/>
      <c r="D27" s="156"/>
      <c r="E27" s="156"/>
      <c r="F27" s="156"/>
      <c r="G27" s="156"/>
    </row>
    <row r="28" spans="1:7" ht="24">
      <c r="A28" s="88"/>
      <c r="B28" s="157"/>
      <c r="C28" s="156"/>
      <c r="D28" s="156"/>
      <c r="E28" s="156"/>
      <c r="F28" s="156"/>
      <c r="G28" s="156"/>
    </row>
    <row r="29" spans="1:7" ht="24">
      <c r="A29" s="88"/>
      <c r="B29" s="157"/>
      <c r="C29" s="156"/>
      <c r="D29" s="156"/>
      <c r="E29" s="156"/>
      <c r="F29" s="156"/>
      <c r="G29" s="156"/>
    </row>
    <row r="30" spans="1:7" ht="24">
      <c r="A30" s="88"/>
      <c r="B30" s="157"/>
      <c r="C30" s="156"/>
      <c r="D30" s="156"/>
      <c r="E30" s="156"/>
      <c r="F30" s="156"/>
      <c r="G30" s="156"/>
    </row>
    <row r="31" spans="1:7" ht="24">
      <c r="A31" s="88"/>
      <c r="B31" s="157"/>
      <c r="C31" s="156"/>
      <c r="D31" s="156"/>
      <c r="E31" s="156"/>
      <c r="F31" s="156"/>
      <c r="G31" s="156"/>
    </row>
    <row r="32" spans="1:7" ht="24">
      <c r="A32" s="88"/>
      <c r="B32" s="157"/>
      <c r="C32" s="156"/>
      <c r="D32" s="156"/>
      <c r="E32" s="156"/>
      <c r="F32" s="156"/>
      <c r="G32" s="156"/>
    </row>
    <row r="33" spans="1:7" ht="24">
      <c r="A33" s="88"/>
      <c r="B33" s="157"/>
      <c r="C33" s="156"/>
      <c r="D33" s="156"/>
      <c r="E33" s="156"/>
      <c r="F33" s="156"/>
      <c r="G33" s="156"/>
    </row>
    <row r="34" spans="1:7" ht="24">
      <c r="A34" s="88"/>
      <c r="B34" s="157"/>
      <c r="C34" s="156"/>
      <c r="D34" s="156"/>
      <c r="E34" s="156"/>
      <c r="F34" s="156"/>
      <c r="G34" s="156"/>
    </row>
    <row r="35" spans="1:7" ht="24">
      <c r="A35" s="88"/>
      <c r="B35" s="157"/>
      <c r="C35" s="156"/>
      <c r="D35" s="156"/>
      <c r="E35" s="156"/>
      <c r="F35" s="156"/>
      <c r="G35" s="156"/>
    </row>
    <row r="36" spans="1:7" ht="24">
      <c r="A36" s="88"/>
      <c r="B36" s="157"/>
      <c r="C36" s="156"/>
      <c r="D36" s="156"/>
      <c r="E36" s="156"/>
      <c r="F36" s="156"/>
      <c r="G36" s="156"/>
    </row>
    <row r="37" spans="1:7" ht="24">
      <c r="A37" s="88"/>
      <c r="B37" s="157"/>
      <c r="C37" s="156"/>
      <c r="D37" s="156"/>
      <c r="E37" s="156"/>
      <c r="F37" s="156"/>
      <c r="G37" s="156"/>
    </row>
    <row r="38" spans="1:7" ht="24">
      <c r="A38" s="88"/>
      <c r="B38" s="157"/>
      <c r="C38" s="156"/>
      <c r="D38" s="156"/>
      <c r="E38" s="156"/>
      <c r="F38" s="156"/>
      <c r="G38" s="156"/>
    </row>
    <row r="39" spans="1:7" ht="24">
      <c r="A39" s="88"/>
      <c r="B39" s="157"/>
      <c r="C39" s="156"/>
      <c r="D39" s="156"/>
      <c r="E39" s="156"/>
      <c r="F39" s="156"/>
      <c r="G39" s="156"/>
    </row>
    <row r="40" spans="1:7" ht="24">
      <c r="A40" s="88"/>
      <c r="B40" s="157"/>
      <c r="C40" s="156"/>
      <c r="D40" s="156"/>
      <c r="E40" s="156"/>
      <c r="F40" s="156"/>
      <c r="G40" s="156"/>
    </row>
    <row r="41" spans="1:7" ht="24">
      <c r="A41" s="88"/>
      <c r="B41" s="157"/>
      <c r="C41" s="156"/>
      <c r="D41" s="156"/>
      <c r="E41" s="156"/>
      <c r="F41" s="156"/>
      <c r="G41" s="156"/>
    </row>
    <row r="42" spans="1:7" ht="24">
      <c r="A42" s="88"/>
      <c r="B42" s="157"/>
      <c r="C42" s="156"/>
      <c r="D42" s="156"/>
      <c r="E42" s="156"/>
      <c r="F42" s="156"/>
      <c r="G42" s="156"/>
    </row>
    <row r="43" spans="1:7" ht="24">
      <c r="A43" s="88"/>
      <c r="B43" s="157"/>
      <c r="C43" s="156"/>
      <c r="D43" s="156"/>
      <c r="E43" s="156"/>
      <c r="F43" s="156"/>
      <c r="G43" s="156"/>
    </row>
    <row r="44" spans="1:7" ht="24">
      <c r="A44" s="88"/>
      <c r="B44" s="157"/>
      <c r="C44" s="156"/>
      <c r="D44" s="156"/>
      <c r="E44" s="156"/>
      <c r="F44" s="156"/>
      <c r="G44" s="156"/>
    </row>
    <row r="45" spans="1:7" ht="24">
      <c r="A45" s="88"/>
      <c r="B45" s="157"/>
      <c r="C45" s="156"/>
      <c r="D45" s="156"/>
      <c r="E45" s="156"/>
      <c r="F45" s="156"/>
      <c r="G45" s="156"/>
    </row>
    <row r="46" spans="1:7" ht="24">
      <c r="A46" s="88"/>
      <c r="B46" s="157"/>
      <c r="C46" s="156"/>
      <c r="D46" s="156"/>
      <c r="E46" s="156"/>
      <c r="F46" s="156"/>
      <c r="G46" s="156"/>
    </row>
    <row r="47" spans="1:7" ht="24">
      <c r="A47" s="88"/>
      <c r="B47" s="157"/>
      <c r="C47" s="156"/>
      <c r="D47" s="156"/>
      <c r="E47" s="156"/>
      <c r="F47" s="156"/>
      <c r="G47" s="156"/>
    </row>
    <row r="48" spans="1:7" ht="24">
      <c r="A48" s="88"/>
      <c r="B48" s="157"/>
      <c r="C48" s="156"/>
      <c r="D48" s="156"/>
      <c r="E48" s="156"/>
      <c r="F48" s="156"/>
      <c r="G48" s="156"/>
    </row>
    <row r="49" spans="1:7" ht="24">
      <c r="A49" s="88"/>
      <c r="B49" s="157"/>
      <c r="C49" s="156"/>
      <c r="D49" s="156"/>
      <c r="E49" s="156"/>
      <c r="F49" s="156"/>
      <c r="G49" s="156"/>
    </row>
    <row r="50" spans="1:7" ht="24">
      <c r="A50" s="88"/>
      <c r="B50" s="157"/>
      <c r="C50" s="156"/>
      <c r="D50" s="156"/>
      <c r="E50" s="156"/>
      <c r="F50" s="156"/>
      <c r="G50" s="156"/>
    </row>
    <row r="51" spans="1:7" ht="24">
      <c r="A51" s="88"/>
      <c r="B51" s="157"/>
      <c r="C51" s="156"/>
      <c r="D51" s="156"/>
      <c r="E51" s="156"/>
      <c r="F51" s="156"/>
      <c r="G51" s="156"/>
    </row>
    <row r="52" spans="1:7" ht="24">
      <c r="A52" s="88"/>
      <c r="B52" s="157"/>
      <c r="C52" s="156"/>
      <c r="D52" s="156"/>
      <c r="E52" s="156"/>
      <c r="F52" s="156"/>
      <c r="G52" s="156"/>
    </row>
    <row r="53" spans="1:7" ht="24">
      <c r="A53" s="88"/>
      <c r="B53" s="157"/>
      <c r="C53" s="156"/>
      <c r="D53" s="156"/>
      <c r="E53" s="156"/>
      <c r="F53" s="156"/>
      <c r="G53" s="156"/>
    </row>
    <row r="54" spans="1:7" ht="24">
      <c r="A54" s="88"/>
      <c r="B54" s="157"/>
      <c r="C54" s="156"/>
      <c r="D54" s="156"/>
      <c r="E54" s="156"/>
      <c r="F54" s="156"/>
      <c r="G54" s="156"/>
    </row>
    <row r="55" spans="1:7" ht="24">
      <c r="A55" s="88"/>
      <c r="B55" s="157"/>
      <c r="C55" s="156"/>
      <c r="D55" s="156"/>
      <c r="E55" s="156"/>
      <c r="F55" s="156"/>
      <c r="G55" s="156"/>
    </row>
    <row r="56" spans="1:7" ht="24">
      <c r="A56" s="88"/>
      <c r="B56" s="157"/>
      <c r="C56" s="156"/>
      <c r="D56" s="156"/>
      <c r="E56" s="156"/>
      <c r="F56" s="156"/>
      <c r="G56" s="156"/>
    </row>
    <row r="57" spans="1:7" ht="24">
      <c r="A57" s="88"/>
      <c r="B57" s="157"/>
      <c r="C57" s="156"/>
      <c r="D57" s="156"/>
      <c r="E57" s="156"/>
      <c r="F57" s="156"/>
      <c r="G57" s="156"/>
    </row>
    <row r="58" spans="1:7" ht="24">
      <c r="A58" s="88"/>
      <c r="B58" s="157"/>
      <c r="C58" s="156"/>
      <c r="D58" s="156"/>
      <c r="E58" s="156"/>
      <c r="F58" s="156"/>
      <c r="G58" s="156"/>
    </row>
    <row r="59" spans="1:7" ht="24">
      <c r="A59" s="88"/>
      <c r="B59" s="157"/>
      <c r="C59" s="156"/>
      <c r="D59" s="156"/>
      <c r="E59" s="156"/>
      <c r="F59" s="156"/>
      <c r="G59" s="156"/>
    </row>
    <row r="60" spans="1:7" ht="24">
      <c r="A60" s="88"/>
      <c r="B60" s="157"/>
      <c r="C60" s="156"/>
      <c r="D60" s="156"/>
      <c r="E60" s="156"/>
      <c r="F60" s="156"/>
      <c r="G60" s="156"/>
    </row>
    <row r="61" spans="1:7" ht="24">
      <c r="A61" s="88"/>
      <c r="B61" s="157"/>
      <c r="C61" s="156"/>
      <c r="D61" s="156"/>
      <c r="E61" s="156"/>
      <c r="F61" s="156"/>
      <c r="G61" s="156"/>
    </row>
    <row r="62" spans="1:7" ht="24">
      <c r="A62" s="88"/>
      <c r="B62" s="157"/>
      <c r="C62" s="156"/>
      <c r="D62" s="156"/>
      <c r="E62" s="156"/>
      <c r="F62" s="156"/>
      <c r="G62" s="156"/>
    </row>
    <row r="63" spans="1:7" ht="24">
      <c r="A63" s="88"/>
      <c r="B63" s="157"/>
      <c r="C63" s="156"/>
      <c r="D63" s="156"/>
      <c r="E63" s="156"/>
      <c r="F63" s="156"/>
      <c r="G63" s="156"/>
    </row>
    <row r="64" spans="1:7" ht="24">
      <c r="A64" s="88"/>
      <c r="B64" s="157"/>
      <c r="C64" s="156"/>
      <c r="D64" s="156"/>
      <c r="E64" s="156"/>
      <c r="F64" s="156"/>
      <c r="G64" s="156"/>
    </row>
    <row r="65" spans="1:7" ht="24">
      <c r="A65" s="88"/>
      <c r="B65" s="157"/>
      <c r="C65" s="156"/>
      <c r="D65" s="156"/>
      <c r="E65" s="156"/>
      <c r="F65" s="156"/>
      <c r="G65" s="156"/>
    </row>
    <row r="66" spans="1:7" ht="24">
      <c r="A66" s="88"/>
      <c r="B66" s="157"/>
      <c r="C66" s="156"/>
      <c r="D66" s="156"/>
      <c r="E66" s="156"/>
      <c r="F66" s="156"/>
      <c r="G66" s="156"/>
    </row>
    <row r="67" spans="1:7" ht="24">
      <c r="A67" s="88"/>
      <c r="B67" s="157"/>
      <c r="C67" s="156"/>
      <c r="D67" s="156"/>
      <c r="E67" s="156"/>
      <c r="F67" s="156"/>
      <c r="G67" s="156"/>
    </row>
    <row r="68" spans="1:7" ht="24">
      <c r="A68" s="88"/>
      <c r="B68" s="157"/>
      <c r="C68" s="156"/>
      <c r="D68" s="156"/>
      <c r="E68" s="156"/>
      <c r="F68" s="156"/>
      <c r="G68" s="156"/>
    </row>
    <row r="69" spans="1:7" ht="24">
      <c r="A69" s="88"/>
      <c r="B69" s="157"/>
      <c r="C69" s="156"/>
      <c r="D69" s="156"/>
      <c r="E69" s="156"/>
      <c r="F69" s="156"/>
      <c r="G69" s="156"/>
    </row>
    <row r="70" spans="1:7" ht="24">
      <c r="A70" s="88"/>
      <c r="B70" s="157"/>
      <c r="C70" s="156"/>
      <c r="D70" s="156"/>
      <c r="E70" s="156"/>
      <c r="F70" s="156"/>
      <c r="G70" s="156"/>
    </row>
    <row r="71" spans="1:7" ht="24">
      <c r="A71" s="88"/>
      <c r="B71" s="157"/>
      <c r="C71" s="156"/>
      <c r="D71" s="156"/>
      <c r="E71" s="156"/>
      <c r="F71" s="156"/>
      <c r="G71" s="156"/>
    </row>
    <row r="72" spans="1:7" ht="24">
      <c r="A72" s="88"/>
      <c r="B72" s="157"/>
      <c r="C72" s="156"/>
      <c r="D72" s="156"/>
      <c r="E72" s="156"/>
      <c r="F72" s="156"/>
      <c r="G72" s="156"/>
    </row>
    <row r="73" spans="1:7" ht="24">
      <c r="A73" s="88"/>
      <c r="B73" s="157"/>
      <c r="C73" s="156"/>
      <c r="D73" s="156"/>
      <c r="E73" s="156"/>
      <c r="F73" s="156"/>
      <c r="G73" s="156"/>
    </row>
    <row r="74" spans="1:7" ht="24">
      <c r="A74" s="88"/>
      <c r="B74" s="157"/>
      <c r="C74" s="156"/>
      <c r="D74" s="156"/>
      <c r="E74" s="156"/>
      <c r="F74" s="156"/>
      <c r="G74" s="156"/>
    </row>
    <row r="75" spans="1:7" ht="24">
      <c r="A75" s="88"/>
      <c r="B75" s="157"/>
      <c r="C75" s="156"/>
      <c r="D75" s="156"/>
      <c r="E75" s="156"/>
      <c r="F75" s="156"/>
      <c r="G75" s="156"/>
    </row>
    <row r="76" spans="1:7" ht="24">
      <c r="A76" s="88"/>
      <c r="B76" s="157"/>
      <c r="C76" s="156"/>
      <c r="D76" s="156"/>
      <c r="E76" s="156"/>
      <c r="F76" s="156"/>
      <c r="G76" s="156"/>
    </row>
    <row r="77" spans="1:7" ht="24">
      <c r="A77" s="88"/>
      <c r="B77" s="157"/>
      <c r="C77" s="156"/>
      <c r="D77" s="156"/>
      <c r="E77" s="156"/>
      <c r="F77" s="156"/>
      <c r="G77" s="156"/>
    </row>
    <row r="78" spans="1:7" ht="24">
      <c r="A78" s="88"/>
      <c r="B78" s="157"/>
      <c r="C78" s="156"/>
      <c r="D78" s="156"/>
      <c r="E78" s="156"/>
      <c r="F78" s="156"/>
      <c r="G78" s="156"/>
    </row>
    <row r="79" spans="1:7" ht="24">
      <c r="A79" s="88"/>
      <c r="B79" s="157"/>
      <c r="C79" s="156"/>
      <c r="D79" s="156"/>
      <c r="E79" s="156"/>
      <c r="F79" s="156"/>
      <c r="G79" s="156"/>
    </row>
    <row r="80" spans="1:7" ht="24">
      <c r="A80" s="88"/>
      <c r="B80" s="157"/>
      <c r="C80" s="156"/>
      <c r="D80" s="156"/>
      <c r="E80" s="156"/>
      <c r="F80" s="156"/>
      <c r="G80" s="156"/>
    </row>
    <row r="81" spans="1:7" ht="24">
      <c r="A81" s="89"/>
      <c r="B81" s="157"/>
      <c r="C81" s="156"/>
      <c r="D81" s="156"/>
      <c r="E81" s="156"/>
      <c r="F81" s="156"/>
      <c r="G81" s="156"/>
    </row>
    <row r="82" spans="1:7" ht="24">
      <c r="A82" s="89"/>
      <c r="B82" s="157"/>
      <c r="C82" s="156"/>
      <c r="D82" s="156"/>
      <c r="E82" s="156"/>
      <c r="F82" s="156"/>
      <c r="G82" s="156"/>
    </row>
    <row r="83" spans="1:7" ht="24">
      <c r="A83" s="89"/>
      <c r="B83" s="157"/>
      <c r="C83" s="156"/>
      <c r="D83" s="156"/>
      <c r="E83" s="156"/>
      <c r="F83" s="156"/>
      <c r="G83" s="156"/>
    </row>
    <row r="84" spans="1:7" ht="24">
      <c r="A84" s="89"/>
      <c r="B84" s="157"/>
      <c r="C84" s="156"/>
      <c r="D84" s="156"/>
      <c r="E84" s="156"/>
      <c r="F84" s="156"/>
      <c r="G84" s="156"/>
    </row>
    <row r="85" spans="1:7" ht="24">
      <c r="A85" s="89"/>
      <c r="B85" s="157"/>
      <c r="C85" s="156"/>
      <c r="D85" s="156"/>
      <c r="E85" s="156"/>
      <c r="F85" s="156"/>
      <c r="G85" s="156"/>
    </row>
    <row r="86" spans="1:7" ht="24">
      <c r="A86" s="89"/>
      <c r="B86" s="157"/>
      <c r="C86" s="156"/>
      <c r="D86" s="156"/>
      <c r="E86" s="156"/>
      <c r="F86" s="156"/>
      <c r="G86" s="156"/>
    </row>
    <row r="87" spans="1:7" ht="24">
      <c r="A87" s="89"/>
      <c r="B87" s="157"/>
      <c r="C87" s="156"/>
      <c r="D87" s="156"/>
      <c r="E87" s="156"/>
      <c r="F87" s="156"/>
      <c r="G87" s="156"/>
    </row>
    <row r="88" spans="1:7" ht="24">
      <c r="A88" s="89"/>
      <c r="B88" s="157"/>
      <c r="C88" s="156"/>
      <c r="D88" s="156"/>
      <c r="E88" s="156"/>
      <c r="F88" s="156"/>
      <c r="G88" s="156"/>
    </row>
    <row r="89" spans="1:7" ht="24">
      <c r="A89" s="89"/>
      <c r="B89" s="157"/>
      <c r="C89" s="156"/>
      <c r="D89" s="156"/>
      <c r="E89" s="156"/>
      <c r="F89" s="156"/>
      <c r="G89" s="156"/>
    </row>
    <row r="90" spans="1:7" ht="24">
      <c r="A90" s="89"/>
      <c r="B90" s="157"/>
      <c r="C90" s="156"/>
      <c r="D90" s="156"/>
      <c r="E90" s="156"/>
      <c r="F90" s="156"/>
      <c r="G90" s="156"/>
    </row>
    <row r="91" spans="1:7" ht="24">
      <c r="A91" s="89"/>
      <c r="B91" s="157"/>
      <c r="C91" s="156"/>
      <c r="D91" s="156"/>
      <c r="E91" s="156"/>
      <c r="F91" s="156"/>
      <c r="G91" s="156"/>
    </row>
    <row r="92" spans="1:7" ht="24">
      <c r="A92" s="89"/>
      <c r="B92" s="157"/>
      <c r="C92" s="156"/>
      <c r="D92" s="156"/>
      <c r="E92" s="156"/>
      <c r="F92" s="156"/>
      <c r="G92" s="156"/>
    </row>
    <row r="93" spans="1:7" ht="24">
      <c r="A93" s="89"/>
      <c r="B93" s="157"/>
      <c r="C93" s="156"/>
      <c r="D93" s="156"/>
      <c r="E93" s="156"/>
      <c r="F93" s="156"/>
      <c r="G93" s="156"/>
    </row>
    <row r="94" spans="1:7" ht="24">
      <c r="A94" s="89"/>
      <c r="B94" s="157"/>
      <c r="C94" s="156"/>
      <c r="D94" s="156"/>
      <c r="E94" s="156"/>
      <c r="F94" s="156"/>
      <c r="G94" s="156"/>
    </row>
    <row r="95" spans="1:7" ht="24">
      <c r="A95" s="89"/>
      <c r="B95" s="157"/>
      <c r="C95" s="156"/>
      <c r="D95" s="156"/>
      <c r="E95" s="156"/>
      <c r="F95" s="156"/>
      <c r="G95" s="156"/>
    </row>
    <row r="96" spans="1:7" ht="24">
      <c r="A96" s="89"/>
      <c r="B96" s="157"/>
      <c r="C96" s="156"/>
      <c r="D96" s="156"/>
      <c r="E96" s="156"/>
      <c r="F96" s="156"/>
      <c r="G96" s="156"/>
    </row>
    <row r="97" spans="1:7" ht="24">
      <c r="A97" s="89"/>
      <c r="B97" s="157"/>
      <c r="C97" s="156"/>
      <c r="D97" s="156"/>
      <c r="E97" s="156"/>
      <c r="F97" s="156"/>
      <c r="G97" s="156"/>
    </row>
    <row r="98" spans="1:7" ht="24">
      <c r="A98" s="89"/>
      <c r="B98" s="157"/>
      <c r="C98" s="156"/>
      <c r="D98" s="156"/>
      <c r="E98" s="156"/>
      <c r="F98" s="156"/>
      <c r="G98" s="156"/>
    </row>
    <row r="99" spans="1:7" ht="24">
      <c r="A99" s="89"/>
      <c r="B99" s="157"/>
      <c r="C99" s="156"/>
      <c r="D99" s="156"/>
      <c r="E99" s="156"/>
      <c r="F99" s="156"/>
      <c r="G99" s="156"/>
    </row>
    <row r="100" spans="1:7" ht="24">
      <c r="A100" s="89"/>
      <c r="B100" s="157"/>
      <c r="C100" s="156"/>
      <c r="D100" s="156"/>
      <c r="E100" s="156"/>
      <c r="F100" s="156"/>
      <c r="G100" s="156"/>
    </row>
    <row r="101" spans="1:7" ht="24">
      <c r="A101" s="89"/>
      <c r="B101" s="157"/>
      <c r="C101" s="156"/>
      <c r="D101" s="156"/>
      <c r="E101" s="156"/>
      <c r="F101" s="156"/>
      <c r="G101" s="156"/>
    </row>
    <row r="102" spans="1:7" ht="24">
      <c r="A102" s="89"/>
      <c r="B102" s="157"/>
      <c r="C102" s="156"/>
      <c r="D102" s="156"/>
      <c r="E102" s="156"/>
      <c r="F102" s="156"/>
      <c r="G102" s="156"/>
    </row>
    <row r="103" spans="1:7" ht="24">
      <c r="A103" s="89"/>
      <c r="B103" s="157"/>
      <c r="C103" s="156"/>
      <c r="D103" s="156"/>
      <c r="E103" s="156"/>
      <c r="F103" s="156"/>
      <c r="G103" s="156"/>
    </row>
    <row r="104" spans="1:7" ht="24">
      <c r="A104" s="89"/>
      <c r="B104" s="157"/>
      <c r="C104" s="156"/>
      <c r="D104" s="156"/>
      <c r="E104" s="156"/>
      <c r="F104" s="156"/>
      <c r="G104" s="156"/>
    </row>
    <row r="105" spans="1:7" ht="24">
      <c r="A105" s="89"/>
      <c r="B105" s="157"/>
      <c r="C105" s="156"/>
      <c r="D105" s="156"/>
      <c r="E105" s="156"/>
      <c r="F105" s="156"/>
      <c r="G105" s="156"/>
    </row>
    <row r="106" spans="1:7" ht="24">
      <c r="A106" s="89"/>
      <c r="B106" s="157"/>
      <c r="C106" s="156"/>
      <c r="D106" s="156"/>
      <c r="E106" s="156"/>
      <c r="F106" s="156"/>
      <c r="G106" s="156"/>
    </row>
    <row r="107" spans="1:7" ht="24">
      <c r="A107" s="89"/>
      <c r="B107" s="157"/>
      <c r="C107" s="156"/>
      <c r="D107" s="156"/>
      <c r="E107" s="156"/>
      <c r="F107" s="156"/>
      <c r="G107" s="156"/>
    </row>
    <row r="108" spans="1:7" ht="24">
      <c r="A108" s="89"/>
      <c r="B108" s="157"/>
      <c r="C108" s="156"/>
      <c r="D108" s="156"/>
      <c r="E108" s="156"/>
      <c r="F108" s="156"/>
      <c r="G108" s="156"/>
    </row>
    <row r="109" spans="1:7" ht="24">
      <c r="A109" s="89"/>
      <c r="B109" s="157"/>
      <c r="C109" s="156"/>
      <c r="D109" s="156"/>
      <c r="E109" s="156"/>
      <c r="F109" s="156"/>
      <c r="G109" s="156"/>
    </row>
    <row r="110" spans="1:7" ht="24">
      <c r="A110" s="89"/>
      <c r="B110" s="157"/>
      <c r="C110" s="156"/>
      <c r="D110" s="156"/>
      <c r="E110" s="156"/>
      <c r="F110" s="156"/>
      <c r="G110" s="156"/>
    </row>
    <row r="111" spans="1:7" ht="24">
      <c r="A111" s="89"/>
      <c r="B111" s="157"/>
      <c r="C111" s="156"/>
      <c r="D111" s="156"/>
      <c r="E111" s="156"/>
      <c r="F111" s="156"/>
      <c r="G111" s="156"/>
    </row>
    <row r="112" spans="1:7" ht="24">
      <c r="A112" s="89"/>
      <c r="B112" s="157"/>
      <c r="C112" s="156"/>
      <c r="D112" s="156"/>
      <c r="E112" s="156"/>
      <c r="F112" s="156"/>
      <c r="G112" s="156"/>
    </row>
    <row r="113" spans="1:7" ht="24">
      <c r="A113" s="89"/>
      <c r="B113" s="157"/>
      <c r="C113" s="156"/>
      <c r="D113" s="156"/>
      <c r="E113" s="156"/>
      <c r="F113" s="156"/>
      <c r="G113" s="156"/>
    </row>
    <row r="114" spans="1:7" ht="24">
      <c r="A114" s="89"/>
      <c r="B114" s="157"/>
      <c r="C114" s="156"/>
      <c r="D114" s="156"/>
      <c r="E114" s="156"/>
      <c r="F114" s="156"/>
      <c r="G114" s="156"/>
    </row>
    <row r="115" spans="1:7" ht="24">
      <c r="A115" s="89"/>
      <c r="B115" s="157"/>
      <c r="C115" s="156"/>
      <c r="D115" s="156"/>
      <c r="E115" s="156"/>
      <c r="F115" s="156"/>
      <c r="G115" s="156"/>
    </row>
    <row r="116" spans="1:7" ht="24">
      <c r="A116" s="89"/>
      <c r="B116" s="157"/>
      <c r="C116" s="156"/>
      <c r="D116" s="156"/>
      <c r="E116" s="156"/>
      <c r="F116" s="156"/>
      <c r="G116" s="156"/>
    </row>
    <row r="117" spans="1:7" ht="24">
      <c r="A117" s="89"/>
      <c r="B117" s="157"/>
      <c r="C117" s="156"/>
      <c r="D117" s="156"/>
      <c r="E117" s="156"/>
      <c r="F117" s="156"/>
      <c r="G117" s="156"/>
    </row>
    <row r="118" spans="1:7" ht="24">
      <c r="A118" s="89"/>
      <c r="B118" s="157"/>
      <c r="C118" s="156"/>
      <c r="D118" s="156"/>
      <c r="E118" s="156"/>
      <c r="F118" s="156"/>
      <c r="G118" s="156"/>
    </row>
    <row r="119" spans="1:7" ht="24">
      <c r="A119" s="89"/>
      <c r="B119" s="157"/>
      <c r="C119" s="156"/>
      <c r="D119" s="156"/>
      <c r="E119" s="156"/>
      <c r="F119" s="156"/>
      <c r="G119" s="156"/>
    </row>
    <row r="120" spans="1:7" ht="24">
      <c r="A120" s="89"/>
      <c r="B120" s="157"/>
      <c r="C120" s="156"/>
      <c r="D120" s="156"/>
      <c r="E120" s="156"/>
      <c r="F120" s="156"/>
      <c r="G120" s="156"/>
    </row>
    <row r="121" spans="1:7" ht="24">
      <c r="A121" s="89"/>
      <c r="B121" s="157"/>
      <c r="C121" s="156"/>
      <c r="D121" s="156"/>
      <c r="E121" s="156"/>
      <c r="F121" s="156"/>
      <c r="G121" s="156"/>
    </row>
    <row r="122" spans="1:7" ht="24">
      <c r="A122" s="89"/>
      <c r="B122" s="157"/>
      <c r="C122" s="156"/>
      <c r="D122" s="156"/>
      <c r="E122" s="156"/>
      <c r="F122" s="156"/>
      <c r="G122" s="156"/>
    </row>
    <row r="123" spans="1:7" ht="24">
      <c r="A123" s="89"/>
      <c r="B123" s="157"/>
      <c r="C123" s="156"/>
      <c r="D123" s="156"/>
      <c r="E123" s="156"/>
      <c r="F123" s="156"/>
      <c r="G123" s="156"/>
    </row>
    <row r="124" spans="1:7" ht="24">
      <c r="A124" s="89"/>
      <c r="B124" s="157"/>
      <c r="C124" s="156"/>
      <c r="D124" s="156"/>
      <c r="E124" s="156"/>
      <c r="F124" s="156"/>
      <c r="G124" s="156"/>
    </row>
    <row r="125" spans="1:7" ht="24">
      <c r="A125" s="89"/>
      <c r="B125" s="157"/>
      <c r="C125" s="156"/>
      <c r="D125" s="156"/>
      <c r="E125" s="156"/>
      <c r="F125" s="156"/>
      <c r="G125" s="156"/>
    </row>
    <row r="126" spans="1:7" ht="24">
      <c r="A126" s="89"/>
      <c r="B126" s="157"/>
      <c r="C126" s="156"/>
      <c r="D126" s="156"/>
      <c r="E126" s="156"/>
      <c r="F126" s="156"/>
      <c r="G126" s="156"/>
    </row>
    <row r="127" spans="1:7" ht="24">
      <c r="A127" s="89"/>
      <c r="B127" s="157"/>
      <c r="C127" s="156"/>
      <c r="D127" s="156"/>
      <c r="E127" s="156"/>
      <c r="F127" s="156"/>
      <c r="G127" s="156"/>
    </row>
    <row r="128" spans="1:7" ht="24">
      <c r="A128" s="89"/>
      <c r="B128" s="157"/>
      <c r="C128" s="156"/>
      <c r="D128" s="156"/>
      <c r="E128" s="156"/>
      <c r="F128" s="156"/>
      <c r="G128" s="156"/>
    </row>
    <row r="129" spans="1:7" ht="24">
      <c r="A129" s="89"/>
      <c r="B129" s="157"/>
      <c r="C129" s="156"/>
      <c r="D129" s="156"/>
      <c r="E129" s="156"/>
      <c r="F129" s="156"/>
      <c r="G129" s="156"/>
    </row>
    <row r="130" spans="1:7" ht="24">
      <c r="A130" s="89"/>
      <c r="B130" s="157"/>
      <c r="C130" s="156"/>
      <c r="D130" s="156"/>
      <c r="E130" s="156"/>
      <c r="F130" s="156"/>
      <c r="G130" s="156"/>
    </row>
    <row r="131" spans="1:7" ht="24">
      <c r="A131" s="89"/>
      <c r="B131" s="157"/>
      <c r="C131" s="156"/>
      <c r="D131" s="156"/>
      <c r="E131" s="156"/>
      <c r="F131" s="156"/>
      <c r="G131" s="156"/>
    </row>
    <row r="132" spans="1:7" ht="24">
      <c r="A132" s="89"/>
      <c r="B132" s="157"/>
      <c r="C132" s="156"/>
      <c r="D132" s="156"/>
      <c r="E132" s="156"/>
      <c r="F132" s="156"/>
      <c r="G132" s="156"/>
    </row>
    <row r="133" spans="1:7" ht="24">
      <c r="A133" s="89"/>
      <c r="B133" s="157"/>
      <c r="C133" s="156"/>
      <c r="D133" s="156"/>
      <c r="E133" s="156"/>
      <c r="F133" s="156"/>
      <c r="G133" s="156"/>
    </row>
    <row r="134" spans="1:7" ht="24">
      <c r="A134" s="89"/>
      <c r="B134" s="157"/>
      <c r="C134" s="156"/>
      <c r="D134" s="156"/>
      <c r="E134" s="156"/>
      <c r="F134" s="156"/>
      <c r="G134" s="156"/>
    </row>
    <row r="135" spans="1:7" ht="24">
      <c r="A135" s="89"/>
      <c r="B135" s="157"/>
      <c r="C135" s="156"/>
      <c r="D135" s="156"/>
      <c r="E135" s="156"/>
      <c r="F135" s="156"/>
      <c r="G135" s="156"/>
    </row>
    <row r="136" spans="1:7" ht="24">
      <c r="A136" s="89"/>
      <c r="B136" s="157"/>
      <c r="C136" s="156"/>
      <c r="D136" s="156"/>
      <c r="E136" s="156"/>
      <c r="F136" s="156"/>
      <c r="G136" s="156"/>
    </row>
    <row r="137" spans="1:7" ht="24">
      <c r="A137" s="89"/>
      <c r="B137" s="157"/>
      <c r="C137" s="156"/>
      <c r="D137" s="156"/>
      <c r="E137" s="156"/>
      <c r="F137" s="156"/>
      <c r="G137" s="156"/>
    </row>
    <row r="138" spans="1:7" ht="24">
      <c r="A138" s="89"/>
      <c r="B138" s="157"/>
      <c r="C138" s="156"/>
      <c r="D138" s="156"/>
      <c r="E138" s="156"/>
      <c r="F138" s="156"/>
      <c r="G138" s="156"/>
    </row>
    <row r="139" spans="1:7" ht="24">
      <c r="A139" s="89"/>
      <c r="B139" s="157"/>
      <c r="C139" s="156"/>
      <c r="D139" s="156"/>
      <c r="E139" s="156"/>
      <c r="F139" s="156"/>
      <c r="G139" s="156"/>
    </row>
    <row r="140" spans="1:7" ht="24">
      <c r="A140" s="89"/>
      <c r="B140" s="98"/>
      <c r="C140" s="95"/>
      <c r="D140" s="95"/>
      <c r="E140" s="95"/>
      <c r="F140" s="95"/>
      <c r="G140" s="95"/>
    </row>
    <row r="141" spans="1:7" ht="24">
      <c r="A141" s="89"/>
      <c r="B141" s="157"/>
      <c r="C141" s="156"/>
      <c r="D141" s="156"/>
      <c r="E141" s="156"/>
      <c r="F141" s="156"/>
      <c r="G141" s="156"/>
    </row>
    <row r="142" spans="1:7" ht="24">
      <c r="A142" s="89"/>
      <c r="B142" s="157"/>
      <c r="C142" s="156"/>
      <c r="D142" s="156"/>
      <c r="E142" s="156"/>
      <c r="F142" s="156"/>
      <c r="G142" s="156"/>
    </row>
    <row r="143" spans="1:7" ht="24">
      <c r="A143" s="89"/>
      <c r="B143" s="157"/>
      <c r="C143" s="156"/>
      <c r="D143" s="156"/>
      <c r="E143" s="156"/>
      <c r="F143" s="156"/>
      <c r="G143" s="156"/>
    </row>
    <row r="144" spans="1:7" ht="24">
      <c r="A144" s="89"/>
      <c r="B144" s="157"/>
      <c r="C144" s="156"/>
      <c r="D144" s="156"/>
      <c r="E144" s="156"/>
      <c r="F144" s="156"/>
      <c r="G144" s="156"/>
    </row>
    <row r="145" spans="1:7" ht="24" hidden="1">
      <c r="A145" s="85"/>
      <c r="B145" s="157"/>
      <c r="C145" s="156"/>
      <c r="D145" s="156"/>
      <c r="E145" s="156"/>
      <c r="F145" s="156"/>
      <c r="G145" s="156"/>
    </row>
    <row r="146" spans="1:7" ht="24" hidden="1">
      <c r="A146" s="85"/>
      <c r="B146" s="86"/>
      <c r="C146" s="87"/>
      <c r="D146" s="87"/>
      <c r="E146" s="87"/>
      <c r="F146" s="87"/>
      <c r="G146" s="87"/>
    </row>
    <row r="147" spans="1:7" ht="24" hidden="1">
      <c r="A147" s="85"/>
      <c r="B147" s="86"/>
      <c r="C147" s="87"/>
      <c r="D147" s="87"/>
      <c r="E147" s="87"/>
      <c r="F147" s="87"/>
      <c r="G147" s="87"/>
    </row>
    <row r="148" spans="1:7" ht="24" hidden="1">
      <c r="A148" s="85"/>
      <c r="B148" s="86"/>
      <c r="C148" s="87"/>
      <c r="D148" s="87"/>
      <c r="E148" s="87"/>
      <c r="F148" s="87"/>
      <c r="G148" s="87"/>
    </row>
    <row r="149" spans="1:7" ht="24" hidden="1">
      <c r="A149" s="85"/>
      <c r="B149" s="86"/>
      <c r="C149" s="87"/>
      <c r="D149" s="87"/>
      <c r="E149" s="87"/>
      <c r="F149" s="87"/>
      <c r="G149" s="87"/>
    </row>
    <row r="150" spans="1:7" ht="24" hidden="1">
      <c r="A150" s="85"/>
      <c r="B150" s="86"/>
      <c r="C150" s="87"/>
      <c r="D150" s="87"/>
      <c r="E150" s="87"/>
      <c r="F150" s="87"/>
      <c r="G150" s="87"/>
    </row>
    <row r="151" spans="1:7" ht="24" hidden="1">
      <c r="A151" s="85"/>
      <c r="B151" s="86"/>
      <c r="C151" s="87"/>
      <c r="D151" s="87"/>
      <c r="E151" s="87"/>
      <c r="F151" s="87"/>
      <c r="G151" s="87"/>
    </row>
    <row r="152" spans="1:7" ht="24" hidden="1">
      <c r="A152" s="85"/>
      <c r="B152" s="86"/>
      <c r="C152" s="87"/>
      <c r="D152" s="87"/>
      <c r="E152" s="87"/>
      <c r="F152" s="87"/>
      <c r="G152" s="87"/>
    </row>
    <row r="153" spans="1:7" ht="24" hidden="1">
      <c r="A153" s="85"/>
      <c r="B153" s="83"/>
      <c r="C153" s="84"/>
      <c r="D153" s="84"/>
      <c r="E153" s="84"/>
      <c r="F153" s="84"/>
      <c r="G153" s="84"/>
    </row>
    <row r="154" spans="1:7" ht="24" hidden="1">
      <c r="A154" s="85"/>
      <c r="B154" s="83"/>
      <c r="C154" s="84"/>
      <c r="D154" s="84"/>
      <c r="E154" s="84"/>
      <c r="F154" s="84"/>
      <c r="G154" s="84"/>
    </row>
    <row r="155" spans="1:7" ht="24" hidden="1">
      <c r="A155" s="85"/>
      <c r="B155" s="83"/>
      <c r="C155" s="84"/>
      <c r="D155" s="84"/>
      <c r="E155" s="84"/>
      <c r="F155" s="84"/>
      <c r="G155" s="84"/>
    </row>
    <row r="156" spans="1:7" ht="24" hidden="1">
      <c r="A156" s="85"/>
      <c r="B156" s="83"/>
      <c r="C156" s="84"/>
      <c r="D156" s="84"/>
      <c r="E156" s="84"/>
      <c r="F156" s="84"/>
      <c r="G156" s="84"/>
    </row>
    <row r="157" spans="1:7" ht="24" hidden="1">
      <c r="A157" s="85"/>
      <c r="B157" s="83"/>
      <c r="C157" s="84"/>
      <c r="D157" s="84"/>
      <c r="E157" s="84"/>
      <c r="F157" s="84"/>
      <c r="G157" s="84"/>
    </row>
    <row r="158" spans="1:7" ht="24" hidden="1">
      <c r="A158" s="85"/>
      <c r="B158" s="83"/>
      <c r="C158" s="84"/>
      <c r="D158" s="84"/>
      <c r="E158" s="84"/>
      <c r="F158" s="84"/>
      <c r="G158" s="84"/>
    </row>
    <row r="159" spans="1:7" ht="24" hidden="1">
      <c r="A159" s="85"/>
      <c r="B159" s="83"/>
      <c r="C159" s="84"/>
      <c r="D159" s="84"/>
      <c r="E159" s="84"/>
      <c r="F159" s="84"/>
      <c r="G159" s="84"/>
    </row>
    <row r="160" spans="1:7" ht="24" hidden="1">
      <c r="A160" s="85"/>
      <c r="B160" s="83"/>
      <c r="C160" s="84"/>
      <c r="D160" s="84"/>
      <c r="E160" s="84"/>
      <c r="F160" s="84"/>
      <c r="G160" s="84"/>
    </row>
    <row r="161" spans="1:7" ht="24.95" hidden="1" customHeight="1">
      <c r="A161" s="85"/>
      <c r="B161" s="83"/>
      <c r="C161" s="84"/>
      <c r="D161" s="84"/>
      <c r="E161" s="84"/>
      <c r="F161" s="84"/>
      <c r="G161" s="84"/>
    </row>
    <row r="162" spans="1:7" ht="24.95" hidden="1" customHeight="1">
      <c r="A162" s="85"/>
      <c r="B162" s="83"/>
      <c r="C162" s="84"/>
      <c r="D162" s="84"/>
      <c r="E162" s="84"/>
      <c r="F162" s="84"/>
      <c r="G162" s="84"/>
    </row>
    <row r="163" spans="1:7" ht="24.95" hidden="1" customHeight="1">
      <c r="A163" s="85"/>
      <c r="B163" s="83"/>
      <c r="C163" s="84"/>
      <c r="D163" s="84"/>
      <c r="E163" s="84"/>
      <c r="F163" s="84"/>
      <c r="G163" s="84"/>
    </row>
    <row r="164" spans="1:7" ht="24.95" hidden="1" customHeight="1">
      <c r="A164" s="85"/>
      <c r="B164" s="83"/>
      <c r="C164" s="84"/>
      <c r="D164" s="84"/>
      <c r="E164" s="84"/>
      <c r="F164" s="84"/>
      <c r="G164" s="84"/>
    </row>
    <row r="165" spans="1:7" ht="24.95" hidden="1" customHeight="1">
      <c r="A165" s="85"/>
      <c r="B165" s="83"/>
      <c r="C165" s="84"/>
      <c r="D165" s="84"/>
      <c r="E165" s="84"/>
      <c r="F165" s="84"/>
      <c r="G165" s="84"/>
    </row>
    <row r="166" spans="1:7" ht="24.95" hidden="1" customHeight="1">
      <c r="A166" s="85"/>
      <c r="B166" s="83"/>
      <c r="C166" s="84"/>
      <c r="D166" s="84"/>
      <c r="E166" s="84"/>
      <c r="F166" s="84"/>
      <c r="G166" s="84"/>
    </row>
    <row r="167" spans="1:7" ht="24.95" hidden="1" customHeight="1">
      <c r="A167" s="85"/>
      <c r="B167" s="83"/>
      <c r="C167" s="84"/>
      <c r="D167" s="84"/>
      <c r="E167" s="84"/>
      <c r="F167" s="84"/>
      <c r="G167" s="84"/>
    </row>
    <row r="168" spans="1:7" ht="24.95" hidden="1" customHeight="1">
      <c r="A168" s="85"/>
      <c r="B168" s="83"/>
      <c r="C168" s="84"/>
      <c r="D168" s="84"/>
      <c r="E168" s="84"/>
      <c r="F168" s="84"/>
      <c r="G168" s="84"/>
    </row>
    <row r="169" spans="1:7" ht="24.95" hidden="1" customHeight="1">
      <c r="A169" s="85"/>
      <c r="B169" s="83"/>
      <c r="C169" s="84"/>
      <c r="D169" s="84"/>
      <c r="E169" s="84"/>
      <c r="F169" s="84"/>
      <c r="G169" s="84"/>
    </row>
    <row r="170" spans="1:7" ht="24.95" hidden="1" customHeight="1">
      <c r="A170" s="85"/>
      <c r="B170" s="83"/>
      <c r="C170" s="84"/>
      <c r="D170" s="84"/>
      <c r="E170" s="84"/>
      <c r="F170" s="84"/>
      <c r="G170" s="84"/>
    </row>
    <row r="171" spans="1:7" ht="24.95" hidden="1" customHeight="1">
      <c r="A171" s="85"/>
      <c r="B171" s="83"/>
      <c r="C171" s="84"/>
      <c r="D171" s="84"/>
      <c r="E171" s="84"/>
      <c r="F171" s="84"/>
      <c r="G171" s="84"/>
    </row>
    <row r="172" spans="1:7" ht="24.95" hidden="1" customHeight="1">
      <c r="A172" s="85"/>
      <c r="B172" s="83"/>
      <c r="C172" s="84"/>
      <c r="D172" s="84"/>
      <c r="E172" s="84"/>
      <c r="F172" s="84"/>
      <c r="G172" s="84"/>
    </row>
    <row r="173" spans="1:7" ht="24.95" hidden="1" customHeight="1">
      <c r="A173" s="85"/>
      <c r="B173" s="83"/>
      <c r="C173" s="84"/>
      <c r="D173" s="84"/>
      <c r="E173" s="84"/>
      <c r="F173" s="84"/>
      <c r="G173" s="84"/>
    </row>
    <row r="174" spans="1:7" ht="24.95" hidden="1" customHeight="1">
      <c r="A174" s="85"/>
      <c r="B174" s="83"/>
      <c r="C174" s="84"/>
      <c r="D174" s="84"/>
      <c r="E174" s="84"/>
      <c r="F174" s="84"/>
      <c r="G174" s="84"/>
    </row>
    <row r="175" spans="1:7" ht="24.95" hidden="1" customHeight="1">
      <c r="A175" s="85"/>
      <c r="B175" s="83"/>
      <c r="C175" s="84"/>
      <c r="D175" s="84"/>
      <c r="E175" s="84"/>
      <c r="F175" s="84"/>
      <c r="G175" s="84"/>
    </row>
    <row r="176" spans="1:7" ht="24.95" hidden="1" customHeight="1">
      <c r="A176" s="85"/>
      <c r="B176" s="83"/>
      <c r="C176" s="84"/>
      <c r="D176" s="84"/>
      <c r="E176" s="84"/>
      <c r="F176" s="84"/>
      <c r="G176" s="84"/>
    </row>
    <row r="177" spans="1:7" ht="24.95" hidden="1" customHeight="1">
      <c r="A177" s="85"/>
      <c r="B177" s="83"/>
      <c r="C177" s="84"/>
      <c r="D177" s="84"/>
      <c r="E177" s="84"/>
      <c r="F177" s="84"/>
      <c r="G177" s="84"/>
    </row>
    <row r="178" spans="1:7" ht="24.95" hidden="1" customHeight="1">
      <c r="A178" s="24"/>
      <c r="B178" s="81"/>
      <c r="C178" s="82"/>
      <c r="D178" s="82"/>
      <c r="E178" s="82"/>
      <c r="F178" s="82"/>
      <c r="G178" s="82"/>
    </row>
    <row r="179" spans="1:7" ht="24.95" hidden="1" customHeight="1"/>
    <row r="180" spans="1:7" ht="24.95" hidden="1" customHeight="1"/>
    <row r="181" spans="1:7" ht="24.95" hidden="1" customHeight="1"/>
    <row r="182" spans="1:7" ht="24.95" hidden="1" customHeight="1"/>
    <row r="183" spans="1:7" ht="24.95" hidden="1" customHeight="1"/>
    <row r="184" spans="1:7" ht="24.95" hidden="1" customHeight="1"/>
    <row r="185" spans="1:7" ht="24.95" hidden="1" customHeight="1"/>
    <row r="186" spans="1:7" ht="24.95" hidden="1" customHeight="1"/>
    <row r="187" spans="1:7" ht="24.95" hidden="1" customHeight="1"/>
    <row r="188" spans="1:7" ht="24.95" hidden="1" customHeight="1"/>
    <row r="189" spans="1:7" ht="24.95" hidden="1" customHeight="1"/>
    <row r="190" spans="1:7" ht="24.95" hidden="1" customHeight="1"/>
    <row r="191" spans="1:7" ht="24.95" hidden="1" customHeight="1"/>
    <row r="192" spans="1:7" ht="24.95" hidden="1" customHeight="1"/>
    <row r="193" ht="24.95" hidden="1" customHeight="1"/>
    <row r="194" ht="24.95" hidden="1" customHeight="1"/>
    <row r="195" ht="24.95" hidden="1" customHeight="1"/>
    <row r="196" ht="24.95" hidden="1" customHeight="1"/>
    <row r="197" ht="24.95" hidden="1" customHeight="1"/>
    <row r="198" ht="24.95" hidden="1" customHeight="1"/>
    <row r="199" ht="24.95" hidden="1" customHeight="1"/>
    <row r="200" ht="24.95" hidden="1" customHeight="1"/>
    <row r="201" ht="24.95" hidden="1" customHeight="1"/>
    <row r="202" ht="24.95" hidden="1" customHeight="1"/>
    <row r="203" ht="24.95" hidden="1" customHeight="1"/>
    <row r="204" ht="24.95" hidden="1" customHeight="1"/>
    <row r="205" ht="24.95" hidden="1" customHeight="1"/>
    <row r="206" ht="24.95" hidden="1" customHeight="1"/>
    <row r="207" ht="24.95" hidden="1" customHeight="1"/>
    <row r="208" ht="24.95" hidden="1" customHeight="1"/>
    <row r="209" ht="24.95" hidden="1" customHeight="1"/>
    <row r="210" ht="24.95" hidden="1" customHeight="1"/>
    <row r="211" ht="24.95" hidden="1" customHeight="1"/>
    <row r="212" ht="24.95" hidden="1" customHeight="1"/>
    <row r="213" ht="24.95" hidden="1" customHeight="1"/>
    <row r="214" ht="24.95" hidden="1" customHeight="1"/>
    <row r="215" ht="24.95" hidden="1" customHeight="1"/>
    <row r="216" ht="24.95" hidden="1" customHeight="1"/>
    <row r="217" ht="24.95" hidden="1" customHeight="1"/>
    <row r="218" ht="24.95" hidden="1" customHeight="1"/>
    <row r="219" ht="24.95" hidden="1" customHeight="1"/>
    <row r="220" ht="24.95" hidden="1" customHeight="1"/>
    <row r="221" ht="24.95" hidden="1" customHeight="1"/>
    <row r="222" ht="24.95" hidden="1" customHeight="1"/>
    <row r="223" ht="24.95" hidden="1" customHeight="1"/>
    <row r="224" ht="24.95" hidden="1" customHeight="1"/>
    <row r="225" ht="24.95" hidden="1" customHeight="1"/>
    <row r="226" ht="24.95" hidden="1" customHeight="1"/>
    <row r="227" ht="24.95" hidden="1" customHeight="1"/>
    <row r="228" ht="24.95" hidden="1" customHeight="1"/>
    <row r="229" ht="24.95" hidden="1" customHeight="1"/>
    <row r="230" ht="24.95" hidden="1" customHeight="1"/>
    <row r="231" ht="24.95" hidden="1" customHeight="1"/>
    <row r="232" ht="24.95" hidden="1" customHeight="1"/>
    <row r="233" ht="24.95" hidden="1" customHeight="1"/>
    <row r="234" ht="24.95" hidden="1" customHeight="1"/>
    <row r="235" ht="24.95" hidden="1" customHeight="1"/>
    <row r="236" ht="24.95" hidden="1" customHeight="1"/>
    <row r="237" ht="24.95" hidden="1" customHeight="1"/>
    <row r="238" ht="24.95" hidden="1" customHeight="1"/>
    <row r="239" ht="24.95" hidden="1" customHeight="1"/>
    <row r="240" ht="24.95" hidden="1" customHeight="1"/>
    <row r="241" ht="24.95" hidden="1" customHeight="1"/>
    <row r="242" ht="24.95" hidden="1" customHeight="1"/>
    <row r="243" ht="24.95" hidden="1" customHeight="1"/>
    <row r="244" ht="24.95" hidden="1" customHeight="1"/>
    <row r="245" ht="24.95" hidden="1" customHeight="1"/>
    <row r="246" ht="24.95" hidden="1" customHeight="1"/>
    <row r="247" ht="24.95" hidden="1" customHeight="1"/>
    <row r="248" ht="24.95" hidden="1" customHeight="1"/>
    <row r="249" ht="24.95" hidden="1" customHeight="1"/>
    <row r="250" ht="24.95" hidden="1" customHeight="1"/>
    <row r="251" ht="24.95" hidden="1" customHeight="1"/>
    <row r="252" ht="24.95" hidden="1" customHeight="1"/>
    <row r="253" ht="24.95" hidden="1" customHeight="1"/>
    <row r="254" ht="24.95" hidden="1" customHeight="1"/>
    <row r="255" ht="24.95" hidden="1" customHeight="1"/>
    <row r="256" ht="24.95" hidden="1" customHeight="1"/>
    <row r="257" ht="24.95" hidden="1" customHeight="1"/>
    <row r="258" ht="24.95" hidden="1" customHeight="1"/>
    <row r="259" ht="24.95" hidden="1" customHeight="1"/>
    <row r="260" ht="24.95" hidden="1" customHeight="1"/>
    <row r="261" ht="24.95" hidden="1" customHeight="1"/>
    <row r="262" ht="24.95" hidden="1" customHeight="1"/>
    <row r="263" ht="24.95" hidden="1" customHeight="1"/>
    <row r="264" ht="24.95" hidden="1" customHeight="1"/>
    <row r="265" ht="24.95" hidden="1" customHeight="1"/>
    <row r="266" ht="24.95" hidden="1" customHeight="1"/>
    <row r="267" ht="24.95" hidden="1" customHeight="1"/>
    <row r="268" ht="24.95" hidden="1" customHeight="1"/>
    <row r="269" ht="24.95" hidden="1" customHeight="1"/>
    <row r="270" ht="24.95" hidden="1" customHeight="1"/>
    <row r="271" ht="24.95" hidden="1" customHeight="1"/>
    <row r="272" ht="24.95" hidden="1" customHeight="1"/>
    <row r="273" ht="24.95" hidden="1" customHeight="1"/>
    <row r="274" ht="24.95" hidden="1" customHeight="1"/>
    <row r="275" ht="24.95" hidden="1" customHeight="1"/>
    <row r="276" ht="24.95" hidden="1" customHeight="1"/>
    <row r="277" ht="24.95" hidden="1" customHeight="1"/>
    <row r="278" ht="24.95" hidden="1" customHeight="1"/>
    <row r="279" ht="24.95" hidden="1" customHeight="1"/>
    <row r="280" ht="24.95" hidden="1" customHeight="1"/>
    <row r="281" ht="24.95" hidden="1" customHeight="1"/>
    <row r="282" ht="24.95" hidden="1" customHeight="1"/>
    <row r="283" ht="24.95" hidden="1" customHeight="1"/>
    <row r="284" ht="24.95" hidden="1" customHeight="1"/>
    <row r="285" ht="24.95" hidden="1" customHeight="1"/>
    <row r="286" ht="24.95" hidden="1" customHeight="1"/>
    <row r="287" ht="24.95" hidden="1" customHeight="1"/>
    <row r="288" ht="24.95" hidden="1" customHeight="1"/>
    <row r="289" spans="1:1" ht="24.95" hidden="1" customHeight="1"/>
    <row r="290" spans="1:1" ht="24.95" hidden="1" customHeight="1"/>
    <row r="291" spans="1:1" ht="24.95" hidden="1" customHeight="1"/>
    <row r="292" spans="1:1" ht="24.95" hidden="1" customHeight="1"/>
    <row r="293" spans="1:1" ht="24.95" hidden="1" customHeight="1"/>
    <row r="294" spans="1:1" ht="24.95" hidden="1" customHeight="1"/>
    <row r="295" spans="1:1" ht="24.95" hidden="1" customHeight="1"/>
    <row r="296" spans="1:1" ht="24.95" hidden="1" customHeight="1"/>
    <row r="297" spans="1:1" ht="24.95" hidden="1" customHeight="1"/>
    <row r="298" spans="1:1" ht="24.95" hidden="1" customHeight="1"/>
    <row r="299" spans="1:1" ht="24.95" hidden="1" customHeight="1">
      <c r="A299" s="78"/>
    </row>
    <row r="300" spans="1:1" ht="24.95" hidden="1" customHeight="1">
      <c r="A300" s="80"/>
    </row>
    <row r="301" spans="1:1" ht="24.95" customHeight="1">
      <c r="A301" s="80"/>
    </row>
    <row r="302" spans="1:1" hidden="1">
      <c r="A302" s="79"/>
    </row>
  </sheetData>
  <sheetProtection algorithmName="SHA-512" hashValue="IgSh6C7U9At5Yw6WL/icQP+nqy7Nrmd4yF+qyqdSkxIVnKJyqX6PYSQ1vi8OJHSCcdKt7ZfPhlgo44J6RDtCNQ==" saltValue="SUryQy+hdFXOfbrwYMmBiA==" spinCount="100000" sheet="1" objects="1" scenarios="1" formatColumns="0" formatRows="0" selectLockedCells="1"/>
  <mergeCells count="1">
    <mergeCell ref="A1:C1"/>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25BC9-FE5A-4A89-8B73-4FB3B89D50F8}">
  <sheetPr codeName="Sheet3"/>
  <dimension ref="A1:A7"/>
  <sheetViews>
    <sheetView workbookViewId="0">
      <selection activeCell="D125" sqref="D125"/>
    </sheetView>
  </sheetViews>
  <sheetFormatPr defaultRowHeight="15"/>
  <sheetData>
    <row r="1" spans="1:1">
      <c r="A1" t="s">
        <v>160</v>
      </c>
    </row>
    <row r="2" spans="1:1">
      <c r="A2" t="s">
        <v>148</v>
      </c>
    </row>
    <row r="3" spans="1:1">
      <c r="A3" t="s">
        <v>149</v>
      </c>
    </row>
    <row r="4" spans="1:1">
      <c r="A4" t="s">
        <v>150</v>
      </c>
    </row>
    <row r="5" spans="1:1">
      <c r="A5" t="s">
        <v>151</v>
      </c>
    </row>
    <row r="6" spans="1:1">
      <c r="A6" t="s">
        <v>152</v>
      </c>
    </row>
    <row r="7" spans="1:1">
      <c r="A7" t="s">
        <v>153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EA8AC4C646DAC42AC0C30CF7B7BFF6F" ma:contentTypeVersion="6" ma:contentTypeDescription="Create a new document." ma:contentTypeScope="" ma:versionID="e454fd7afc63b974b1a7c76d2dc5a7ca">
  <xsd:schema xmlns:xsd="http://www.w3.org/2001/XMLSchema" xmlns:xs="http://www.w3.org/2001/XMLSchema" xmlns:p="http://schemas.microsoft.com/office/2006/metadata/properties" xmlns:ns2="07537778-edc4-4bae-9411-20c4ef553c35" xmlns:ns3="31e53ff0-f238-4b7f-a780-326249e9e866" targetNamespace="http://schemas.microsoft.com/office/2006/metadata/properties" ma:root="true" ma:fieldsID="3b7cb6c3f9f487871e0c3b3abdd721b2" ns2:_="" ns3:_="">
    <xsd:import namespace="07537778-edc4-4bae-9411-20c4ef553c35"/>
    <xsd:import namespace="31e53ff0-f238-4b7f-a780-326249e9e86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537778-edc4-4bae-9411-20c4ef553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1e53ff0-f238-4b7f-a780-326249e9e866"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DA1C78C-94D3-43F8-8090-2033A6D39C0E}">
  <ds:schemaRefs>
    <ds:schemaRef ds:uri="http://schemas.microsoft.com/sharepoint/v3/contenttype/forms"/>
  </ds:schemaRefs>
</ds:datastoreItem>
</file>

<file path=customXml/itemProps2.xml><?xml version="1.0" encoding="utf-8"?>
<ds:datastoreItem xmlns:ds="http://schemas.openxmlformats.org/officeDocument/2006/customXml" ds:itemID="{B67E2D6A-0A69-490F-926E-AF83617087D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537778-edc4-4bae-9411-20c4ef553c35"/>
    <ds:schemaRef ds:uri="31e53ff0-f238-4b7f-a780-326249e9e86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33308D4-2B1F-4B27-B66D-1C4B9D7EECD2}">
  <ds:schemaRefs>
    <ds:schemaRef ds:uri="http://schemas.microsoft.com/office/2006/documentManagement/types"/>
    <ds:schemaRef ds:uri="07537778-edc4-4bae-9411-20c4ef553c35"/>
    <ds:schemaRef ds:uri="http://purl.org/dc/terms/"/>
    <ds:schemaRef ds:uri="http://schemas.microsoft.com/office/infopath/2007/PartnerControls"/>
    <ds:schemaRef ds:uri="http://schemas.openxmlformats.org/package/2006/metadata/core-properties"/>
    <ds:schemaRef ds:uri="31e53ff0-f238-4b7f-a780-326249e9e866"/>
    <ds:schemaRef ds:uri="http://purl.org/dc/dcmitype/"/>
    <ds:schemaRef ds:uri="http://schemas.microsoft.com/office/2006/metadata/properties"/>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Jumbo Product Selection</vt:lpstr>
      <vt:lpstr>Jumbo Comparison Guide</vt:lpstr>
      <vt:lpstr>Guidelines</vt:lpstr>
      <vt:lpstr>Lists</vt:lpstr>
      <vt:lpstr>Eligible Product Breakdown</vt:lpstr>
      <vt:lpstr>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Troy Wixson</dc:creator>
  <cp:keywords/>
  <dc:description/>
  <cp:lastModifiedBy>Chelsea Leonowicz</cp:lastModifiedBy>
  <cp:revision/>
  <dcterms:created xsi:type="dcterms:W3CDTF">2023-04-30T14:16:29Z</dcterms:created>
  <dcterms:modified xsi:type="dcterms:W3CDTF">2025-10-07T20:39:47Z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0x0101008EA8AC4C646DAC42AC0C30CF7B7BFF6F</vt:lpwstr>
  </property>
</Properties>
</file>